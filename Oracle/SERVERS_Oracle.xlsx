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mesDownloads\"/>
    </mc:Choice>
  </mc:AlternateContent>
  <bookViews>
    <workbookView xWindow="-12" yWindow="-12" windowWidth="11232" windowHeight="9432"/>
  </bookViews>
  <sheets>
    <sheet name="PROD" sheetId="1" r:id="rId1"/>
    <sheet name="DEV" sheetId="3" r:id="rId2"/>
    <sheet name="EBS" sheetId="4" r:id="rId3"/>
    <sheet name="SFDM" sheetId="8" r:id="rId4"/>
  </sheets>
  <definedNames>
    <definedName name="_xlnm._FilterDatabase" localSheetId="1" hidden="1">DEV!$A$1:$J$32</definedName>
    <definedName name="_xlnm._FilterDatabase" localSheetId="0" hidden="1">PROD!$A$1:$J$31</definedName>
  </definedNames>
  <calcPr calcId="152511"/>
</workbook>
</file>

<file path=xl/calcChain.xml><?xml version="1.0" encoding="utf-8"?>
<calcChain xmlns="http://schemas.openxmlformats.org/spreadsheetml/2006/main">
  <c r="J39" i="3" l="1"/>
  <c r="J34" i="1" l="1"/>
  <c r="J38" i="1" l="1"/>
  <c r="J39" i="1" l="1"/>
  <c r="J40" i="3" l="1"/>
  <c r="J40" i="1"/>
  <c r="J33" i="1"/>
  <c r="J35" i="1"/>
  <c r="J37" i="1"/>
  <c r="J3" i="3" l="1"/>
  <c r="J16" i="3" l="1"/>
  <c r="J36" i="1" l="1"/>
  <c r="J32" i="1"/>
  <c r="J28" i="1" l="1"/>
  <c r="J27" i="1"/>
  <c r="J12" i="1"/>
  <c r="J2" i="3" l="1"/>
  <c r="J11" i="3" l="1"/>
  <c r="J12" i="3"/>
  <c r="J14" i="3"/>
  <c r="J15" i="3"/>
  <c r="J18" i="3"/>
  <c r="J17" i="3"/>
  <c r="J20" i="3"/>
  <c r="J19" i="3"/>
  <c r="J21" i="3"/>
  <c r="J22" i="3"/>
  <c r="J23" i="3"/>
  <c r="J24" i="3"/>
  <c r="J25" i="3"/>
  <c r="J26" i="3"/>
  <c r="J27" i="3"/>
  <c r="J28" i="3"/>
  <c r="J34" i="3"/>
  <c r="J31" i="3"/>
  <c r="J30" i="3"/>
  <c r="J32" i="3"/>
  <c r="J33" i="3"/>
  <c r="J29" i="3"/>
  <c r="J37" i="3"/>
  <c r="J35" i="3"/>
  <c r="J36" i="3"/>
  <c r="J38" i="3"/>
  <c r="J13" i="3"/>
  <c r="J10" i="3"/>
  <c r="J5" i="1" l="1"/>
  <c r="J6" i="1"/>
  <c r="J8" i="1"/>
  <c r="J7" i="1"/>
  <c r="J11" i="1"/>
  <c r="J10" i="1"/>
  <c r="J9" i="1"/>
  <c r="J14" i="1"/>
  <c r="J13" i="1"/>
  <c r="J15" i="1"/>
  <c r="J16" i="1"/>
  <c r="J17" i="1"/>
  <c r="J18" i="1"/>
  <c r="J19" i="1"/>
  <c r="J20" i="1"/>
  <c r="J24" i="1"/>
  <c r="J25" i="1"/>
  <c r="J26" i="1"/>
  <c r="J23" i="1"/>
  <c r="J22" i="1"/>
  <c r="J21" i="1"/>
  <c r="J29" i="1"/>
  <c r="J30" i="1"/>
  <c r="J31" i="1"/>
  <c r="J4" i="1"/>
  <c r="J3" i="1"/>
  <c r="J2" i="1"/>
</calcChain>
</file>

<file path=xl/sharedStrings.xml><?xml version="1.0" encoding="utf-8"?>
<sst xmlns="http://schemas.openxmlformats.org/spreadsheetml/2006/main" count="600" uniqueCount="305">
  <si>
    <t>Server</t>
  </si>
  <si>
    <t>SID</t>
  </si>
  <si>
    <t>Version</t>
  </si>
  <si>
    <t>Clone?</t>
  </si>
  <si>
    <t>Application</t>
  </si>
  <si>
    <t>CO-DB-001</t>
  </si>
  <si>
    <t>11.2.0.4.5</t>
  </si>
  <si>
    <t>JDE</t>
  </si>
  <si>
    <t>JDE Security</t>
  </si>
  <si>
    <t>JDE QA</t>
  </si>
  <si>
    <t>Agile</t>
  </si>
  <si>
    <t>Yes</t>
  </si>
  <si>
    <t>Agile read only</t>
  </si>
  <si>
    <t>CO-DB-005</t>
  </si>
  <si>
    <t>CO-DB-006</t>
  </si>
  <si>
    <t>cgpd</t>
  </si>
  <si>
    <t>jdbc</t>
  </si>
  <si>
    <t>jdqa</t>
  </si>
  <si>
    <t>jdsp</t>
  </si>
  <si>
    <t>jdpd</t>
  </si>
  <si>
    <t>reqpropd</t>
  </si>
  <si>
    <t>cqprod</t>
  </si>
  <si>
    <t>CO-DB-007</t>
  </si>
  <si>
    <t>windpd</t>
  </si>
  <si>
    <t>11.2.0.4.8</t>
  </si>
  <si>
    <t>Windchill</t>
  </si>
  <si>
    <t>bmblpd</t>
  </si>
  <si>
    <t>11.2.0.3</t>
  </si>
  <si>
    <t>BizManager</t>
  </si>
  <si>
    <t>BizManager archive</t>
  </si>
  <si>
    <t>CO-DB-014</t>
  </si>
  <si>
    <t>bir</t>
  </si>
  <si>
    <t>JDRO</t>
  </si>
  <si>
    <t>jsprpd</t>
  </si>
  <si>
    <t>Jasper</t>
  </si>
  <si>
    <t>CO-DB-015</t>
  </si>
  <si>
    <t>jdbch</t>
  </si>
  <si>
    <t>jdkinx</t>
  </si>
  <si>
    <t>jdpdrst</t>
  </si>
  <si>
    <t>jdarp</t>
  </si>
  <si>
    <t>CO-DB-016</t>
  </si>
  <si>
    <t>arbp</t>
  </si>
  <si>
    <t>plx</t>
  </si>
  <si>
    <t>CO-DB-018</t>
  </si>
  <si>
    <t>cgcp</t>
  </si>
  <si>
    <t>cgcprst</t>
  </si>
  <si>
    <t>edipd</t>
  </si>
  <si>
    <t>ucampd</t>
  </si>
  <si>
    <t>dsipd</t>
  </si>
  <si>
    <t>dcnmpd</t>
  </si>
  <si>
    <t>UC4</t>
  </si>
  <si>
    <t>CO-DB-024</t>
  </si>
  <si>
    <t>ebsprd01</t>
  </si>
  <si>
    <t>EBS</t>
  </si>
  <si>
    <t>CO-DB-026</t>
  </si>
  <si>
    <t>ebsapcpd</t>
  </si>
  <si>
    <t>EBS APCC</t>
  </si>
  <si>
    <t>CO-DB-045</t>
  </si>
  <si>
    <t>ggpd</t>
  </si>
  <si>
    <t>Gloden Gate</t>
  </si>
  <si>
    <t>$ORA_HOME</t>
  </si>
  <si>
    <t>Listener Port</t>
  </si>
  <si>
    <t>/oracle/11.2.0.4.5</t>
  </si>
  <si>
    <t>/oracle/oracle10g/10201-SUN64</t>
  </si>
  <si>
    <t>10.2.0.5</t>
  </si>
  <si>
    <t>8.1.7.4</t>
  </si>
  <si>
    <t>11.2.0.4</t>
  </si>
  <si>
    <t>DNS Name</t>
  </si>
  <si>
    <t>jdpd-db.plexus.com</t>
  </si>
  <si>
    <t>jdqa-db.plexus.com</t>
  </si>
  <si>
    <t>jdsp-db.plexus.com</t>
  </si>
  <si>
    <t>cgpd-db.plexus.com</t>
  </si>
  <si>
    <t>reqpropd-db.plexus.com</t>
  </si>
  <si>
    <t>bmblparc-db.plexus.com</t>
  </si>
  <si>
    <t>bmblpd-db.plexus.com</t>
  </si>
  <si>
    <t>jdro-db.plexus.com</t>
  </si>
  <si>
    <t>jsprpd-db.plexus.com</t>
  </si>
  <si>
    <t>jdarp-db.plexus.com</t>
  </si>
  <si>
    <t>jdbch-db.plexus.com</t>
  </si>
  <si>
    <t>arbp-db.plexus.com</t>
  </si>
  <si>
    <t>plx-db.plexus.com</t>
  </si>
  <si>
    <t>cgcp-db.plexus.com</t>
  </si>
  <si>
    <t>dcnmpd-db.plexus.com</t>
  </si>
  <si>
    <t>dsipd-db.plexus.com</t>
  </si>
  <si>
    <t>edipd-db.plexus.com</t>
  </si>
  <si>
    <t>ucam-pd-ora.db.na.plexus.com</t>
  </si>
  <si>
    <t>ebsprd01-db.na.plexus.com</t>
  </si>
  <si>
    <t>ebsprdapc01-db.na.plexus.com</t>
  </si>
  <si>
    <t>bmblparc</t>
  </si>
  <si>
    <t>/oracle/oracle8i/8170-SUN64</t>
  </si>
  <si>
    <t>/oracle/11.2.0.3/11203-SUN64</t>
  </si>
  <si>
    <t>/oracle/oracle8i/8174-SUN64</t>
  </si>
  <si>
    <t>/u01/app/oracle/11g/11.2.0.4</t>
  </si>
  <si>
    <t>Used to test restores only</t>
  </si>
  <si>
    <t>Cognos</t>
  </si>
  <si>
    <t>JDE clone - used by Kinaxis</t>
  </si>
  <si>
    <t>JDE archive</t>
  </si>
  <si>
    <t>Bar code scanner interface</t>
  </si>
  <si>
    <t>Environment</t>
  </si>
  <si>
    <t>Function</t>
  </si>
  <si>
    <t>Host</t>
  </si>
  <si>
    <t>DNS</t>
  </si>
  <si>
    <t>IP</t>
  </si>
  <si>
    <t>Cores</t>
  </si>
  <si>
    <t>Memory</t>
  </si>
  <si>
    <t>Disk (GB)</t>
  </si>
  <si>
    <t>n/a</t>
  </si>
  <si>
    <t>Sandbox</t>
  </si>
  <si>
    <t>Database</t>
  </si>
  <si>
    <t>co-db-929</t>
  </si>
  <si>
    <t>Configuration</t>
  </si>
  <si>
    <t>co-db-933</t>
  </si>
  <si>
    <t>ebscfg01-db.na.plexus.com</t>
  </si>
  <si>
    <t>10.250.51.37</t>
  </si>
  <si>
    <t>Development</t>
  </si>
  <si>
    <t>APCC / SPP DB</t>
  </si>
  <si>
    <t>co-db-939</t>
  </si>
  <si>
    <t>ebsdevapc02-db.na.plexus.com</t>
  </si>
  <si>
    <t>10.255.51.23</t>
  </si>
  <si>
    <t>co-db-935</t>
  </si>
  <si>
    <t>ebsdev01-db.na.plexus.com</t>
  </si>
  <si>
    <t>10.250.51.31</t>
  </si>
  <si>
    <t>Test</t>
  </si>
  <si>
    <t>co-db-969</t>
  </si>
  <si>
    <t>ebstst01-db.na.plexus.com</t>
  </si>
  <si>
    <t>10.250.51.33</t>
  </si>
  <si>
    <t>Training/QA</t>
  </si>
  <si>
    <t>co-db-938</t>
  </si>
  <si>
    <t>ebsdevapc01-db.na.plexus.com</t>
  </si>
  <si>
    <t>10.255.50.38</t>
  </si>
  <si>
    <t>co-db-012</t>
  </si>
  <si>
    <t>ebstrn01-db.na.plexus.com</t>
  </si>
  <si>
    <t>10.255.50.12</t>
  </si>
  <si>
    <t>Production</t>
  </si>
  <si>
    <t>co-db-026</t>
  </si>
  <si>
    <t>10.255.50.26</t>
  </si>
  <si>
    <t>co-db-024</t>
  </si>
  <si>
    <t>10.255.50.24</t>
  </si>
  <si>
    <t>UPK</t>
  </si>
  <si>
    <t>co-db-019</t>
  </si>
  <si>
    <t>10.255.50.17</t>
  </si>
  <si>
    <t>Target Version</t>
  </si>
  <si>
    <t>Compliant?</t>
  </si>
  <si>
    <t>jdsup</t>
  </si>
  <si>
    <t>ogcdv</t>
  </si>
  <si>
    <t>cpoc</t>
  </si>
  <si>
    <t>jdat</t>
  </si>
  <si>
    <t>jdrf</t>
  </si>
  <si>
    <t>jdtrn</t>
  </si>
  <si>
    <t>jdup</t>
  </si>
  <si>
    <t>cgdv</t>
  </si>
  <si>
    <t>jdarc</t>
  </si>
  <si>
    <t>plxup</t>
  </si>
  <si>
    <t>jtstdv</t>
  </si>
  <si>
    <t>agtrn</t>
  </si>
  <si>
    <t>ggdv</t>
  </si>
  <si>
    <t>jctstdv</t>
  </si>
  <si>
    <t>cgndd</t>
  </si>
  <si>
    <t>plxdv</t>
  </si>
  <si>
    <t>jdsd</t>
  </si>
  <si>
    <t>dsidv</t>
  </si>
  <si>
    <t>jddv</t>
  </si>
  <si>
    <t>bmbldv</t>
  </si>
  <si>
    <t>jdpy</t>
  </si>
  <si>
    <t>ucamdv</t>
  </si>
  <si>
    <t>bmbldarc</t>
  </si>
  <si>
    <t>winddv</t>
  </si>
  <si>
    <t>jsprpy</t>
  </si>
  <si>
    <t>windqa</t>
  </si>
  <si>
    <t>dudv</t>
  </si>
  <si>
    <t>CO-DB-976</t>
  </si>
  <si>
    <t>CO-DB-977</t>
  </si>
  <si>
    <t>CO-DB-986</t>
  </si>
  <si>
    <t>CO-DB-988</t>
  </si>
  <si>
    <t>CO-DB-989</t>
  </si>
  <si>
    <t>CO-DB-991</t>
  </si>
  <si>
    <t>CO-DB-994</t>
  </si>
  <si>
    <t>CO-DB-995</t>
  </si>
  <si>
    <t>CO-DB-996</t>
  </si>
  <si>
    <t>CO-DB-998</t>
  </si>
  <si>
    <t>11.2.0.2</t>
  </si>
  <si>
    <t>Golden Gate</t>
  </si>
  <si>
    <t>JDE PY</t>
  </si>
  <si>
    <t>JDE dev</t>
  </si>
  <si>
    <t>JDE dev/PY security</t>
  </si>
  <si>
    <t>JDE Training</t>
  </si>
  <si>
    <t>B/ITS</t>
  </si>
  <si>
    <t>8.1.7.0</t>
  </si>
  <si>
    <t>/oracle/11.2.0.4/11204-SUN64</t>
  </si>
  <si>
    <t>/oracle/oracle11g/11202-SUN64</t>
  </si>
  <si>
    <t>CO-DB-987</t>
  </si>
  <si>
    <t>JDE build error recovery</t>
  </si>
  <si>
    <t>Requisite Pro</t>
  </si>
  <si>
    <t>Clearquest</t>
  </si>
  <si>
    <t>JDE Forecast Reporting</t>
  </si>
  <si>
    <t>Ariba</t>
  </si>
  <si>
    <t>Cognos Controller</t>
  </si>
  <si>
    <t>EDI</t>
  </si>
  <si>
    <t>jdsd-db.plexus.com</t>
  </si>
  <si>
    <t>jddv-db.plexus.com</t>
  </si>
  <si>
    <t>jdpy-db.plexus.com</t>
  </si>
  <si>
    <t>SFDM Oracle Database (Oracle 7.x )</t>
  </si>
  <si>
    <t>No.</t>
  </si>
  <si>
    <t>Site</t>
  </si>
  <si>
    <t>Hostname</t>
  </si>
  <si>
    <t>Service name</t>
  </si>
  <si>
    <t>Hillside</t>
  </si>
  <si>
    <t>pena-db-iccm</t>
  </si>
  <si>
    <t>ICCM.MAL</t>
  </si>
  <si>
    <t>Seaside</t>
  </si>
  <si>
    <t>pena-db-pg2s</t>
  </si>
  <si>
    <t>PG2S.MAL</t>
  </si>
  <si>
    <t>Riverside</t>
  </si>
  <si>
    <t>pena-db-pg3s</t>
  </si>
  <si>
    <t>PG3S.MAL</t>
  </si>
  <si>
    <t>Xiamen</t>
  </si>
  <si>
    <t>xiam-db-iccx</t>
  </si>
  <si>
    <t>ICCX.XMN</t>
  </si>
  <si>
    <t>HangZhou</t>
  </si>
  <si>
    <t>hang-db-001</t>
  </si>
  <si>
    <t>HZ1S.CHN</t>
  </si>
  <si>
    <t>ggpd-db.na.plexus.com</t>
  </si>
  <si>
    <t>DSI</t>
  </si>
  <si>
    <t>ebsupk01-db.plexus.com</t>
  </si>
  <si>
    <t>Port</t>
  </si>
  <si>
    <t>ebsiam01-db.plexus.com</t>
  </si>
  <si>
    <t>IAM</t>
  </si>
  <si>
    <t>CO-DB-924</t>
  </si>
  <si>
    <t>agldev01</t>
  </si>
  <si>
    <t>12.1.0.2</t>
  </si>
  <si>
    <t>CO-DB-012</t>
  </si>
  <si>
    <t>ebstrn01</t>
  </si>
  <si>
    <t>EBS Training</t>
  </si>
  <si>
    <t>CO-DB-019</t>
  </si>
  <si>
    <t>ebsupk01</t>
  </si>
  <si>
    <t>EBS UPK</t>
  </si>
  <si>
    <t>EBS IAM</t>
  </si>
  <si>
    <t>ebsiam01</t>
  </si>
  <si>
    <t>CO-DB-929</t>
  </si>
  <si>
    <t>ebssbx01</t>
  </si>
  <si>
    <t>EBS Sandbox</t>
  </si>
  <si>
    <t>CO-DB-933</t>
  </si>
  <si>
    <t>ebscfg01</t>
  </si>
  <si>
    <t>EBS Config</t>
  </si>
  <si>
    <t>ebssbx01-db.plexus.com</t>
  </si>
  <si>
    <t>ebscfg01-db.plexus.com</t>
  </si>
  <si>
    <t>ebssbx01-db.na.plexus.com</t>
  </si>
  <si>
    <t>CO-DB-939</t>
  </si>
  <si>
    <t>ebapcdv1</t>
  </si>
  <si>
    <t>EBS Dev APC</t>
  </si>
  <si>
    <t>CO-DB-935</t>
  </si>
  <si>
    <t>ebsdev01</t>
  </si>
  <si>
    <t>EBS Dev</t>
  </si>
  <si>
    <t>CO-DB-969</t>
  </si>
  <si>
    <t>ebstst01</t>
  </si>
  <si>
    <t>EBS Test</t>
  </si>
  <si>
    <t>CO-DB-938</t>
  </si>
  <si>
    <t>ebsapcdv</t>
  </si>
  <si>
    <t>EBS APCC / SPP DB</t>
  </si>
  <si>
    <t>aglprd01</t>
  </si>
  <si>
    <t>aglqa01</t>
  </si>
  <si>
    <t>aglprd01-db.na.plexus.com</t>
  </si>
  <si>
    <t>aglqa01-db.na.plexus.com</t>
  </si>
  <si>
    <t>oemdv</t>
  </si>
  <si>
    <t>OEM Cloud Control</t>
  </si>
  <si>
    <t>agltrn01</t>
  </si>
  <si>
    <t>gcc-ora-prd-001</t>
  </si>
  <si>
    <t>oemprd01</t>
  </si>
  <si>
    <t>OEM 13 (Cloud Control)</t>
  </si>
  <si>
    <t>oemprd01-db.na.plexus.com</t>
  </si>
  <si>
    <t>grcprd01</t>
  </si>
  <si>
    <t>grcprd01-db.na.plexus.com</t>
  </si>
  <si>
    <t>dcc-ora-dev-001</t>
  </si>
  <si>
    <t>grcdev01</t>
  </si>
  <si>
    <t>grcdev01-db.na.plexus.com</t>
  </si>
  <si>
    <t>aglro01</t>
  </si>
  <si>
    <t>aglav01</t>
  </si>
  <si>
    <t>aglro01-db.na.plexus.com</t>
  </si>
  <si>
    <t>Agile averify (DBA use only)</t>
  </si>
  <si>
    <t>rmnprd01</t>
  </si>
  <si>
    <t>RMAN repository</t>
  </si>
  <si>
    <t>rmnprd01-db.na.plexus.com</t>
  </si>
  <si>
    <t>OLD AGILE</t>
  </si>
  <si>
    <t>/oracle/11.2.0.4.170418</t>
  </si>
  <si>
    <t>GRC</t>
  </si>
  <si>
    <t>Old Cloud Control</t>
  </si>
  <si>
    <t>JDE Archive</t>
  </si>
  <si>
    <t>CO-DB-54</t>
  </si>
  <si>
    <t>jabprd01</t>
  </si>
  <si>
    <t>Jabber persistent chat</t>
  </si>
  <si>
    <t>jabprd01-db.na.plexus.com</t>
  </si>
  <si>
    <t>11.2.0.4.170418</t>
  </si>
  <si>
    <t>/oracle/oracle9i/9201-SUN64/9208</t>
  </si>
  <si>
    <t>9.2.0.8</t>
  </si>
  <si>
    <t>aglcln</t>
  </si>
  <si>
    <t>Agile clone</t>
  </si>
  <si>
    <t>GRC (AMS Team)</t>
  </si>
  <si>
    <t>12.1.2.0.2</t>
  </si>
  <si>
    <t>/oracle/12.1.0.2.171017</t>
  </si>
  <si>
    <t>/oracle/11.2.0.4.171017</t>
  </si>
  <si>
    <t>11.2.0.4.171017</t>
  </si>
  <si>
    <t>12.1.0.2.171017</t>
  </si>
  <si>
    <t>OLD - mark for delete</t>
  </si>
  <si>
    <t>cogdev01</t>
  </si>
  <si>
    <t>cogdev01-db.na.plexus.com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</si>
</sst>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 applyAlignment="1">
      <alignment horizontal="center"/>
    </xf>
    <xf numFmtId="0" fontId="0" fillId="0" borderId="4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5" xfId="0" applyFill="1" applyBorder="1" applyAlignment="1"/>
    <xf numFmtId="0" fontId="0" fillId="3" borderId="5" xfId="0" applyFill="1" applyBorder="1" applyAlignment="1"/>
    <xf numFmtId="0" fontId="0" fillId="3" borderId="5" xfId="0" applyFill="1" applyBorder="1" applyAlignment="1">
      <alignment vertical="center"/>
    </xf>
    <xf numFmtId="0" fontId="0" fillId="0" borderId="0" xfId="0" applyFill="1" applyBorder="1" applyAlignment="1"/>
    <xf numFmtId="0" fontId="3" fillId="5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right" vertical="center"/>
    </xf>
    <xf numFmtId="0" fontId="3" fillId="8" borderId="5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0" fillId="0" borderId="5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vertical="center"/>
    </xf>
    <xf numFmtId="0" fontId="0" fillId="3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6" xfId="0" applyBorder="1"/>
    <xf numFmtId="0" fontId="4" fillId="0" borderId="5" xfId="0" applyFont="1" applyBorder="1" applyAlignment="1">
      <alignment horizontal="right"/>
    </xf>
    <xf numFmtId="0" fontId="3" fillId="6" borderId="6" xfId="0" applyFont="1" applyFill="1" applyBorder="1" applyAlignment="1">
      <alignment horizontal="right" vertical="center"/>
    </xf>
    <xf numFmtId="0" fontId="3" fillId="8" borderId="6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3" xfId="0" applyFont="1" applyFill="1" applyBorder="1"/>
    <xf numFmtId="0" fontId="1" fillId="2" borderId="14" xfId="0" applyFont="1" applyFill="1" applyBorder="1"/>
    <xf numFmtId="0" fontId="0" fillId="0" borderId="6" xfId="0" applyFill="1" applyBorder="1"/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 applyAlignment="1"/>
    <xf numFmtId="0" fontId="1" fillId="2" borderId="15" xfId="0" applyFon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/>
    <xf numFmtId="0" fontId="3" fillId="8" borderId="1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right" vertical="center"/>
    </xf>
    <xf numFmtId="0" fontId="0" fillId="0" borderId="5" xfId="0" applyFill="1" applyBorder="1" applyAlignment="1">
      <alignment horizontal="right"/>
    </xf>
    <xf numFmtId="0" fontId="3" fillId="7" borderId="8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right" vertical="center"/>
    </xf>
    <xf numFmtId="0" fontId="3" fillId="7" borderId="9" xfId="0" applyFont="1" applyFill="1" applyBorder="1" applyAlignment="1">
      <alignment horizontal="right" vertical="center"/>
    </xf>
    <xf numFmtId="0" fontId="3" fillId="9" borderId="6" xfId="0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0" borderId="1" xfId="0" applyFill="1" applyBorder="1"/>
    <xf numFmtId="0" fontId="0" fillId="0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/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8" xfId="0" applyFill="1" applyBorder="1" applyAlignment="1">
      <alignment horizontal="left"/>
    </xf>
    <xf numFmtId="0" fontId="6" fillId="0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0" fillId="0" borderId="16" xfId="0" applyFill="1" applyBorder="1"/>
    <xf numFmtId="0" fontId="0" fillId="0" borderId="16" xfId="0" applyFill="1" applyBorder="1" applyAlignment="1">
      <alignment horizontal="center"/>
    </xf>
    <xf numFmtId="0" fontId="0" fillId="0" borderId="16" xfId="0" applyFill="1" applyBorder="1" applyAlignment="1"/>
    <xf numFmtId="0" fontId="0" fillId="0" borderId="17" xfId="0" applyFill="1" applyBorder="1" applyAlignment="1">
      <alignment horizontal="center"/>
    </xf>
    <xf numFmtId="0" fontId="0" fillId="0" borderId="8" xfId="0" applyFill="1" applyBorder="1" applyAlignment="1"/>
    <xf numFmtId="0" fontId="0" fillId="0" borderId="18" xfId="0" applyFill="1" applyBorder="1"/>
    <xf numFmtId="0" fontId="0" fillId="0" borderId="16" xfId="0" applyFill="1" applyBorder="1" applyAlignment="1">
      <alignment horizontal="center" vertical="center"/>
    </xf>
    <xf numFmtId="0" fontId="0" fillId="0" borderId="16" xfId="0" quotePrefix="1" applyFill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A41" sqref="A41"/>
    </sheetView>
  </sheetViews>
  <sheetFormatPr defaultColWidth="9.109375" defaultRowHeight="14.4" x14ac:dyDescent="0.3"/>
  <cols>
    <col min="1" max="1" width="16.109375" style="1" customWidth="1"/>
    <col min="2" max="2" width="12.5546875" style="2" customWidth="1"/>
    <col min="3" max="3" width="32" style="1" customWidth="1"/>
    <col min="4" max="4" width="12.109375" style="1" customWidth="1"/>
    <col min="5" max="5" width="29.109375" style="16" bestFit="1" customWidth="1"/>
    <col min="6" max="6" width="18.5546875" style="2" customWidth="1"/>
    <col min="7" max="7" width="31.33203125" style="1" customWidth="1"/>
    <col min="8" max="8" width="19.5546875" style="2" customWidth="1"/>
    <col min="9" max="9" width="21.109375" style="2" customWidth="1"/>
    <col min="10" max="10" width="17.44140625" style="2" customWidth="1"/>
    <col min="11" max="16384" width="9.109375" style="1"/>
  </cols>
  <sheetData>
    <row r="1" spans="1:10" ht="16.2" thickBot="1" x14ac:dyDescent="0.35">
      <c r="A1" s="78" t="s">
        <v>0</v>
      </c>
      <c r="B1" s="79" t="s">
        <v>1</v>
      </c>
      <c r="C1" s="78" t="s">
        <v>4</v>
      </c>
      <c r="D1" s="78" t="s">
        <v>3</v>
      </c>
      <c r="E1" s="80" t="s">
        <v>67</v>
      </c>
      <c r="F1" s="79" t="s">
        <v>2</v>
      </c>
      <c r="G1" s="78" t="s">
        <v>60</v>
      </c>
      <c r="H1" s="79" t="s">
        <v>61</v>
      </c>
      <c r="I1" s="79" t="s">
        <v>141</v>
      </c>
      <c r="J1" s="79" t="s">
        <v>142</v>
      </c>
    </row>
    <row r="2" spans="1:10" ht="15" thickBot="1" x14ac:dyDescent="0.35">
      <c r="A2" s="81" t="s">
        <v>5</v>
      </c>
      <c r="B2" s="82" t="s">
        <v>19</v>
      </c>
      <c r="C2" s="83" t="s">
        <v>7</v>
      </c>
      <c r="D2" s="83"/>
      <c r="E2" s="84" t="s">
        <v>68</v>
      </c>
      <c r="F2" s="85" t="s">
        <v>300</v>
      </c>
      <c r="G2" s="83" t="s">
        <v>299</v>
      </c>
      <c r="H2" s="85">
        <v>15211</v>
      </c>
      <c r="I2" s="85" t="s">
        <v>300</v>
      </c>
      <c r="J2" s="86" t="str">
        <f t="shared" ref="J2:J40" si="0">IF(I2=F2,"Yes","No")</f>
        <v>Yes</v>
      </c>
    </row>
    <row r="3" spans="1:10" x14ac:dyDescent="0.3">
      <c r="A3" s="3" t="s">
        <v>5</v>
      </c>
      <c r="B3" s="35" t="s">
        <v>17</v>
      </c>
      <c r="C3" s="5" t="s">
        <v>9</v>
      </c>
      <c r="D3" s="5"/>
      <c r="E3" s="13" t="s">
        <v>69</v>
      </c>
      <c r="F3" s="4" t="s">
        <v>300</v>
      </c>
      <c r="G3" s="83" t="s">
        <v>299</v>
      </c>
      <c r="H3" s="4">
        <v>15215</v>
      </c>
      <c r="I3" s="4" t="s">
        <v>300</v>
      </c>
      <c r="J3" s="6" t="str">
        <f t="shared" si="0"/>
        <v>Yes</v>
      </c>
    </row>
    <row r="4" spans="1:10" x14ac:dyDescent="0.3">
      <c r="A4" s="3" t="s">
        <v>5</v>
      </c>
      <c r="B4" s="35" t="s">
        <v>18</v>
      </c>
      <c r="C4" s="5" t="s">
        <v>8</v>
      </c>
      <c r="D4" s="5"/>
      <c r="E4" s="13" t="s">
        <v>70</v>
      </c>
      <c r="F4" s="4" t="s">
        <v>300</v>
      </c>
      <c r="G4" s="83" t="s">
        <v>299</v>
      </c>
      <c r="H4" s="4">
        <v>15238</v>
      </c>
      <c r="I4" s="4" t="s">
        <v>300</v>
      </c>
      <c r="J4" s="6" t="str">
        <f t="shared" si="0"/>
        <v>Yes</v>
      </c>
    </row>
    <row r="5" spans="1:10" x14ac:dyDescent="0.3">
      <c r="A5" s="8" t="s">
        <v>13</v>
      </c>
      <c r="B5" s="36" t="s">
        <v>16</v>
      </c>
      <c r="C5" s="10" t="s">
        <v>191</v>
      </c>
      <c r="D5" s="10"/>
      <c r="E5" s="15"/>
      <c r="F5" s="11" t="s">
        <v>6</v>
      </c>
      <c r="G5" s="10" t="s">
        <v>62</v>
      </c>
      <c r="H5" s="11"/>
      <c r="I5" s="11" t="s">
        <v>6</v>
      </c>
      <c r="J5" s="12" t="str">
        <f t="shared" si="0"/>
        <v>Yes</v>
      </c>
    </row>
    <row r="6" spans="1:10" x14ac:dyDescent="0.3">
      <c r="A6" s="3" t="s">
        <v>14</v>
      </c>
      <c r="B6" s="35" t="s">
        <v>15</v>
      </c>
      <c r="C6" s="5" t="s">
        <v>94</v>
      </c>
      <c r="D6" s="5"/>
      <c r="E6" s="13" t="s">
        <v>71</v>
      </c>
      <c r="F6" s="4" t="s">
        <v>64</v>
      </c>
      <c r="G6" s="5" t="s">
        <v>63</v>
      </c>
      <c r="H6" s="4">
        <v>15889</v>
      </c>
      <c r="I6" s="4" t="s">
        <v>64</v>
      </c>
      <c r="J6" s="6" t="str">
        <f t="shared" si="0"/>
        <v>Yes</v>
      </c>
    </row>
    <row r="7" spans="1:10" x14ac:dyDescent="0.3">
      <c r="A7" s="3" t="s">
        <v>14</v>
      </c>
      <c r="B7" s="35" t="s">
        <v>21</v>
      </c>
      <c r="C7" s="5" t="s">
        <v>193</v>
      </c>
      <c r="D7" s="5"/>
      <c r="E7" s="13"/>
      <c r="F7" s="4" t="s">
        <v>64</v>
      </c>
      <c r="G7" s="5" t="s">
        <v>63</v>
      </c>
      <c r="H7" s="4">
        <v>15881</v>
      </c>
      <c r="I7" s="4" t="s">
        <v>64</v>
      </c>
      <c r="J7" s="6" t="str">
        <f t="shared" si="0"/>
        <v>Yes</v>
      </c>
    </row>
    <row r="8" spans="1:10" x14ac:dyDescent="0.3">
      <c r="A8" s="3" t="s">
        <v>14</v>
      </c>
      <c r="B8" s="35" t="s">
        <v>20</v>
      </c>
      <c r="C8" s="5" t="s">
        <v>192</v>
      </c>
      <c r="D8" s="5"/>
      <c r="E8" s="13" t="s">
        <v>72</v>
      </c>
      <c r="F8" s="4" t="s">
        <v>64</v>
      </c>
      <c r="G8" s="97" t="s">
        <v>63</v>
      </c>
      <c r="H8" s="4">
        <v>15888</v>
      </c>
      <c r="I8" s="98" t="s">
        <v>64</v>
      </c>
      <c r="J8" s="6" t="str">
        <f t="shared" si="0"/>
        <v>Yes</v>
      </c>
    </row>
    <row r="9" spans="1:10" x14ac:dyDescent="0.3">
      <c r="A9" s="8" t="s">
        <v>22</v>
      </c>
      <c r="B9" s="38" t="s">
        <v>88</v>
      </c>
      <c r="C9" s="10" t="s">
        <v>29</v>
      </c>
      <c r="D9" s="10"/>
      <c r="E9" s="14" t="s">
        <v>73</v>
      </c>
      <c r="F9" s="11" t="s">
        <v>291</v>
      </c>
      <c r="G9" s="10" t="s">
        <v>299</v>
      </c>
      <c r="H9" s="11">
        <v>19599</v>
      </c>
      <c r="I9" s="11" t="s">
        <v>291</v>
      </c>
      <c r="J9" s="12" t="str">
        <f t="shared" si="0"/>
        <v>Yes</v>
      </c>
    </row>
    <row r="10" spans="1:10" x14ac:dyDescent="0.3">
      <c r="A10" s="8" t="s">
        <v>22</v>
      </c>
      <c r="B10" s="38" t="s">
        <v>26</v>
      </c>
      <c r="C10" s="10" t="s">
        <v>28</v>
      </c>
      <c r="D10" s="10"/>
      <c r="E10" s="14" t="s">
        <v>74</v>
      </c>
      <c r="F10" s="11" t="s">
        <v>291</v>
      </c>
      <c r="G10" s="10" t="s">
        <v>299</v>
      </c>
      <c r="H10" s="11">
        <v>19597</v>
      </c>
      <c r="I10" s="11" t="s">
        <v>291</v>
      </c>
      <c r="J10" s="12" t="str">
        <f t="shared" si="0"/>
        <v>Yes</v>
      </c>
    </row>
    <row r="11" spans="1:10" x14ac:dyDescent="0.3">
      <c r="A11" s="8" t="s">
        <v>22</v>
      </c>
      <c r="B11" s="38" t="s">
        <v>23</v>
      </c>
      <c r="C11" s="10" t="s">
        <v>25</v>
      </c>
      <c r="D11" s="10"/>
      <c r="E11" s="14"/>
      <c r="F11" s="11" t="s">
        <v>291</v>
      </c>
      <c r="G11" s="10" t="s">
        <v>299</v>
      </c>
      <c r="H11" s="11">
        <v>19593</v>
      </c>
      <c r="I11" s="11" t="s">
        <v>291</v>
      </c>
      <c r="J11" s="12" t="str">
        <f t="shared" si="0"/>
        <v>Yes</v>
      </c>
    </row>
    <row r="12" spans="1:10" x14ac:dyDescent="0.3">
      <c r="A12" s="3" t="s">
        <v>230</v>
      </c>
      <c r="B12" s="35" t="s">
        <v>231</v>
      </c>
      <c r="C12" s="5" t="s">
        <v>232</v>
      </c>
      <c r="D12" s="5"/>
      <c r="E12" s="58" t="s">
        <v>131</v>
      </c>
      <c r="F12" s="4" t="s">
        <v>66</v>
      </c>
      <c r="G12" s="5" t="s">
        <v>92</v>
      </c>
      <c r="H12" s="4">
        <v>1621</v>
      </c>
      <c r="I12" s="4" t="s">
        <v>66</v>
      </c>
      <c r="J12" s="6" t="str">
        <f t="shared" si="0"/>
        <v>Yes</v>
      </c>
    </row>
    <row r="13" spans="1:10" x14ac:dyDescent="0.3">
      <c r="A13" s="8" t="s">
        <v>30</v>
      </c>
      <c r="B13" s="38" t="s">
        <v>33</v>
      </c>
      <c r="C13" s="10" t="s">
        <v>34</v>
      </c>
      <c r="D13" s="10"/>
      <c r="E13" s="14" t="s">
        <v>76</v>
      </c>
      <c r="F13" s="11" t="s">
        <v>300</v>
      </c>
      <c r="G13" s="10" t="s">
        <v>299</v>
      </c>
      <c r="H13" s="11">
        <v>15227</v>
      </c>
      <c r="I13" s="11" t="s">
        <v>300</v>
      </c>
      <c r="J13" s="12" t="str">
        <f t="shared" si="0"/>
        <v>Yes</v>
      </c>
    </row>
    <row r="14" spans="1:10" x14ac:dyDescent="0.3">
      <c r="A14" s="8" t="s">
        <v>30</v>
      </c>
      <c r="B14" s="38" t="s">
        <v>31</v>
      </c>
      <c r="C14" s="10" t="s">
        <v>32</v>
      </c>
      <c r="D14" s="10" t="s">
        <v>11</v>
      </c>
      <c r="E14" s="14" t="s">
        <v>75</v>
      </c>
      <c r="F14" s="11" t="s">
        <v>300</v>
      </c>
      <c r="G14" s="10" t="s">
        <v>299</v>
      </c>
      <c r="H14" s="11">
        <v>15224</v>
      </c>
      <c r="I14" s="11" t="s">
        <v>300</v>
      </c>
      <c r="J14" s="12" t="str">
        <f t="shared" si="0"/>
        <v>Yes</v>
      </c>
    </row>
    <row r="15" spans="1:10" x14ac:dyDescent="0.3">
      <c r="A15" s="3" t="s">
        <v>35</v>
      </c>
      <c r="B15" s="35" t="s">
        <v>36</v>
      </c>
      <c r="C15" s="5" t="s">
        <v>194</v>
      </c>
      <c r="D15" s="5" t="s">
        <v>11</v>
      </c>
      <c r="E15" s="13" t="s">
        <v>78</v>
      </c>
      <c r="F15" s="4" t="s">
        <v>300</v>
      </c>
      <c r="G15" s="5" t="s">
        <v>299</v>
      </c>
      <c r="H15" s="4">
        <v>15301</v>
      </c>
      <c r="I15" s="4" t="s">
        <v>300</v>
      </c>
      <c r="J15" s="6" t="str">
        <f t="shared" si="0"/>
        <v>Yes</v>
      </c>
    </row>
    <row r="16" spans="1:10" x14ac:dyDescent="0.3">
      <c r="A16" s="3" t="s">
        <v>35</v>
      </c>
      <c r="B16" s="35" t="s">
        <v>37</v>
      </c>
      <c r="C16" s="5" t="s">
        <v>95</v>
      </c>
      <c r="D16" s="5" t="s">
        <v>11</v>
      </c>
      <c r="E16" s="13"/>
      <c r="F16" s="4" t="s">
        <v>300</v>
      </c>
      <c r="G16" s="5" t="s">
        <v>299</v>
      </c>
      <c r="H16" s="4">
        <v>15591</v>
      </c>
      <c r="I16" s="4" t="s">
        <v>300</v>
      </c>
      <c r="J16" s="6" t="str">
        <f t="shared" si="0"/>
        <v>Yes</v>
      </c>
    </row>
    <row r="17" spans="1:10" x14ac:dyDescent="0.3">
      <c r="A17" s="3" t="s">
        <v>35</v>
      </c>
      <c r="B17" s="35" t="s">
        <v>38</v>
      </c>
      <c r="C17" s="5" t="s">
        <v>93</v>
      </c>
      <c r="D17" s="5"/>
      <c r="E17" s="13"/>
      <c r="F17" s="4" t="s">
        <v>291</v>
      </c>
      <c r="G17" s="5" t="s">
        <v>283</v>
      </c>
      <c r="H17" s="4"/>
      <c r="I17" s="4" t="s">
        <v>291</v>
      </c>
      <c r="J17" s="6" t="str">
        <f t="shared" si="0"/>
        <v>Yes</v>
      </c>
    </row>
    <row r="18" spans="1:10" x14ac:dyDescent="0.3">
      <c r="A18" s="3" t="s">
        <v>35</v>
      </c>
      <c r="B18" s="35" t="s">
        <v>39</v>
      </c>
      <c r="C18" s="5" t="s">
        <v>96</v>
      </c>
      <c r="D18" s="5"/>
      <c r="E18" s="13" t="s">
        <v>77</v>
      </c>
      <c r="F18" s="4" t="s">
        <v>293</v>
      </c>
      <c r="G18" s="5" t="s">
        <v>292</v>
      </c>
      <c r="H18" s="4">
        <v>15589</v>
      </c>
      <c r="I18" s="4" t="s">
        <v>293</v>
      </c>
      <c r="J18" s="6" t="str">
        <f t="shared" si="0"/>
        <v>Yes</v>
      </c>
    </row>
    <row r="19" spans="1:10" x14ac:dyDescent="0.3">
      <c r="A19" s="8" t="s">
        <v>40</v>
      </c>
      <c r="B19" s="38" t="s">
        <v>41</v>
      </c>
      <c r="C19" s="10" t="s">
        <v>195</v>
      </c>
      <c r="D19" s="10"/>
      <c r="E19" s="14" t="s">
        <v>79</v>
      </c>
      <c r="F19" s="11" t="s">
        <v>65</v>
      </c>
      <c r="G19" s="10" t="s">
        <v>91</v>
      </c>
      <c r="H19" s="11">
        <v>15224</v>
      </c>
      <c r="I19" s="11" t="s">
        <v>65</v>
      </c>
      <c r="J19" s="12" t="str">
        <f t="shared" si="0"/>
        <v>Yes</v>
      </c>
    </row>
    <row r="20" spans="1:10" x14ac:dyDescent="0.3">
      <c r="A20" s="8" t="s">
        <v>40</v>
      </c>
      <c r="B20" s="38" t="s">
        <v>42</v>
      </c>
      <c r="C20" s="10" t="s">
        <v>186</v>
      </c>
      <c r="D20" s="10"/>
      <c r="E20" s="14" t="s">
        <v>80</v>
      </c>
      <c r="F20" s="11" t="s">
        <v>65</v>
      </c>
      <c r="G20" s="10" t="s">
        <v>91</v>
      </c>
      <c r="H20" s="11">
        <v>15214</v>
      </c>
      <c r="I20" s="11" t="s">
        <v>65</v>
      </c>
      <c r="J20" s="12" t="str">
        <f t="shared" si="0"/>
        <v>Yes</v>
      </c>
    </row>
    <row r="21" spans="1:10" x14ac:dyDescent="0.3">
      <c r="A21" s="3" t="s">
        <v>43</v>
      </c>
      <c r="B21" s="37" t="s">
        <v>49</v>
      </c>
      <c r="C21" s="5"/>
      <c r="D21" s="5"/>
      <c r="E21" s="13" t="s">
        <v>82</v>
      </c>
      <c r="F21" s="4" t="s">
        <v>27</v>
      </c>
      <c r="G21" s="5" t="s">
        <v>90</v>
      </c>
      <c r="H21" s="4">
        <v>15700</v>
      </c>
      <c r="I21" s="4" t="s">
        <v>24</v>
      </c>
      <c r="J21" s="6" t="str">
        <f t="shared" si="0"/>
        <v>No</v>
      </c>
    </row>
    <row r="22" spans="1:10" x14ac:dyDescent="0.3">
      <c r="A22" s="3" t="s">
        <v>43</v>
      </c>
      <c r="B22" s="37" t="s">
        <v>48</v>
      </c>
      <c r="C22" s="5" t="s">
        <v>97</v>
      </c>
      <c r="D22" s="5"/>
      <c r="E22" s="13" t="s">
        <v>83</v>
      </c>
      <c r="F22" s="4" t="s">
        <v>27</v>
      </c>
      <c r="G22" s="5" t="s">
        <v>90</v>
      </c>
      <c r="H22" s="4">
        <v>15232</v>
      </c>
      <c r="I22" s="4" t="s">
        <v>24</v>
      </c>
      <c r="J22" s="6" t="str">
        <f t="shared" si="0"/>
        <v>No</v>
      </c>
    </row>
    <row r="23" spans="1:10" x14ac:dyDescent="0.3">
      <c r="A23" s="3" t="s">
        <v>43</v>
      </c>
      <c r="B23" s="37" t="s">
        <v>47</v>
      </c>
      <c r="C23" s="5" t="s">
        <v>50</v>
      </c>
      <c r="D23" s="5"/>
      <c r="E23" s="13" t="s">
        <v>85</v>
      </c>
      <c r="F23" s="4" t="s">
        <v>300</v>
      </c>
      <c r="G23" s="5" t="s">
        <v>299</v>
      </c>
      <c r="H23" s="4">
        <v>19592</v>
      </c>
      <c r="I23" s="4" t="s">
        <v>300</v>
      </c>
      <c r="J23" s="6" t="str">
        <f t="shared" si="0"/>
        <v>Yes</v>
      </c>
    </row>
    <row r="24" spans="1:10" x14ac:dyDescent="0.3">
      <c r="A24" s="3" t="s">
        <v>43</v>
      </c>
      <c r="B24" s="37" t="s">
        <v>44</v>
      </c>
      <c r="C24" s="5" t="s">
        <v>196</v>
      </c>
      <c r="D24" s="5"/>
      <c r="E24" s="13" t="s">
        <v>81</v>
      </c>
      <c r="F24" s="4" t="s">
        <v>64</v>
      </c>
      <c r="G24" s="5" t="s">
        <v>63</v>
      </c>
      <c r="H24" s="4">
        <v>15978</v>
      </c>
      <c r="I24" s="4" t="s">
        <v>64</v>
      </c>
      <c r="J24" s="6" t="str">
        <f t="shared" si="0"/>
        <v>Yes</v>
      </c>
    </row>
    <row r="25" spans="1:10" x14ac:dyDescent="0.3">
      <c r="A25" s="3" t="s">
        <v>43</v>
      </c>
      <c r="B25" s="37" t="s">
        <v>45</v>
      </c>
      <c r="C25" s="5" t="s">
        <v>93</v>
      </c>
      <c r="D25" s="5"/>
      <c r="E25" s="30"/>
      <c r="F25" s="4" t="s">
        <v>64</v>
      </c>
      <c r="G25" s="5" t="s">
        <v>63</v>
      </c>
      <c r="H25" s="4"/>
      <c r="I25" s="4" t="s">
        <v>64</v>
      </c>
      <c r="J25" s="6" t="str">
        <f t="shared" si="0"/>
        <v>Yes</v>
      </c>
    </row>
    <row r="26" spans="1:10" x14ac:dyDescent="0.3">
      <c r="A26" s="3" t="s">
        <v>43</v>
      </c>
      <c r="B26" s="37" t="s">
        <v>46</v>
      </c>
      <c r="C26" s="5" t="s">
        <v>197</v>
      </c>
      <c r="D26" s="5"/>
      <c r="E26" s="13" t="s">
        <v>84</v>
      </c>
      <c r="F26" s="4" t="s">
        <v>64</v>
      </c>
      <c r="G26" s="5" t="s">
        <v>63</v>
      </c>
      <c r="H26" s="4">
        <v>15872</v>
      </c>
      <c r="I26" s="4" t="s">
        <v>64</v>
      </c>
      <c r="J26" s="6" t="str">
        <f t="shared" si="0"/>
        <v>Yes</v>
      </c>
    </row>
    <row r="27" spans="1:10" x14ac:dyDescent="0.3">
      <c r="A27" s="8" t="s">
        <v>233</v>
      </c>
      <c r="B27" s="36" t="s">
        <v>234</v>
      </c>
      <c r="C27" s="10" t="s">
        <v>235</v>
      </c>
      <c r="D27" s="10"/>
      <c r="E27" s="10" t="s">
        <v>223</v>
      </c>
      <c r="F27" s="11" t="s">
        <v>66</v>
      </c>
      <c r="G27" s="10" t="s">
        <v>92</v>
      </c>
      <c r="H27" s="11">
        <v>15610</v>
      </c>
      <c r="I27" s="11" t="s">
        <v>66</v>
      </c>
      <c r="J27" s="12" t="str">
        <f t="shared" si="0"/>
        <v>Yes</v>
      </c>
    </row>
    <row r="28" spans="1:10" x14ac:dyDescent="0.3">
      <c r="A28" s="8" t="s">
        <v>233</v>
      </c>
      <c r="B28" s="36" t="s">
        <v>237</v>
      </c>
      <c r="C28" s="10" t="s">
        <v>236</v>
      </c>
      <c r="D28" s="10"/>
      <c r="E28" s="10" t="s">
        <v>225</v>
      </c>
      <c r="F28" s="11" t="s">
        <v>66</v>
      </c>
      <c r="G28" s="10" t="s">
        <v>92</v>
      </c>
      <c r="H28" s="11">
        <v>15620</v>
      </c>
      <c r="I28" s="11" t="s">
        <v>66</v>
      </c>
      <c r="J28" s="12" t="str">
        <f t="shared" si="0"/>
        <v>Yes</v>
      </c>
    </row>
    <row r="29" spans="1:10" x14ac:dyDescent="0.3">
      <c r="A29" s="3" t="s">
        <v>51</v>
      </c>
      <c r="B29" s="35" t="s">
        <v>52</v>
      </c>
      <c r="C29" s="5" t="s">
        <v>53</v>
      </c>
      <c r="D29" s="5"/>
      <c r="E29" s="13" t="s">
        <v>86</v>
      </c>
      <c r="F29" s="4" t="s">
        <v>66</v>
      </c>
      <c r="G29" s="5" t="s">
        <v>92</v>
      </c>
      <c r="H29" s="4">
        <v>1621</v>
      </c>
      <c r="I29" s="4" t="s">
        <v>66</v>
      </c>
      <c r="J29" s="6" t="str">
        <f t="shared" si="0"/>
        <v>Yes</v>
      </c>
    </row>
    <row r="30" spans="1:10" x14ac:dyDescent="0.3">
      <c r="A30" s="8" t="s">
        <v>54</v>
      </c>
      <c r="B30" s="38" t="s">
        <v>55</v>
      </c>
      <c r="C30" s="10" t="s">
        <v>56</v>
      </c>
      <c r="D30" s="10"/>
      <c r="E30" s="14" t="s">
        <v>87</v>
      </c>
      <c r="F30" s="11" t="s">
        <v>66</v>
      </c>
      <c r="G30" s="10" t="s">
        <v>92</v>
      </c>
      <c r="H30" s="11">
        <v>1621</v>
      </c>
      <c r="I30" s="11" t="s">
        <v>66</v>
      </c>
      <c r="J30" s="12" t="str">
        <f t="shared" si="0"/>
        <v>Yes</v>
      </c>
    </row>
    <row r="31" spans="1:10" x14ac:dyDescent="0.3">
      <c r="A31" s="3" t="s">
        <v>57</v>
      </c>
      <c r="B31" s="35" t="s">
        <v>58</v>
      </c>
      <c r="C31" s="5" t="s">
        <v>59</v>
      </c>
      <c r="D31" s="5"/>
      <c r="E31" s="13" t="s">
        <v>221</v>
      </c>
      <c r="F31" s="4" t="s">
        <v>300</v>
      </c>
      <c r="G31" s="5" t="s">
        <v>299</v>
      </c>
      <c r="H31" s="4">
        <v>15212</v>
      </c>
      <c r="I31" s="4" t="s">
        <v>300</v>
      </c>
      <c r="J31" s="6" t="str">
        <f t="shared" si="0"/>
        <v>Yes</v>
      </c>
    </row>
    <row r="32" spans="1:10" x14ac:dyDescent="0.3">
      <c r="A32" s="8" t="s">
        <v>287</v>
      </c>
      <c r="B32" s="11" t="s">
        <v>259</v>
      </c>
      <c r="C32" s="10" t="s">
        <v>10</v>
      </c>
      <c r="D32" s="10"/>
      <c r="E32" s="14" t="s">
        <v>261</v>
      </c>
      <c r="F32" s="11" t="s">
        <v>301</v>
      </c>
      <c r="G32" s="10" t="s">
        <v>298</v>
      </c>
      <c r="H32" s="11">
        <v>1726</v>
      </c>
      <c r="I32" s="11" t="s">
        <v>301</v>
      </c>
      <c r="J32" s="12" t="str">
        <f t="shared" si="0"/>
        <v>Yes</v>
      </c>
    </row>
    <row r="33" spans="1:10" x14ac:dyDescent="0.3">
      <c r="A33" s="8" t="s">
        <v>287</v>
      </c>
      <c r="B33" s="11" t="s">
        <v>275</v>
      </c>
      <c r="C33" s="10" t="s">
        <v>12</v>
      </c>
      <c r="D33" s="10" t="s">
        <v>11</v>
      </c>
      <c r="E33" s="14" t="s">
        <v>277</v>
      </c>
      <c r="F33" s="11" t="s">
        <v>301</v>
      </c>
      <c r="G33" s="10" t="s">
        <v>298</v>
      </c>
      <c r="H33" s="11">
        <v>1728</v>
      </c>
      <c r="I33" s="11" t="s">
        <v>301</v>
      </c>
      <c r="J33" s="12" t="str">
        <f t="shared" si="0"/>
        <v>Yes</v>
      </c>
    </row>
    <row r="34" spans="1:10" x14ac:dyDescent="0.3">
      <c r="A34" s="8" t="s">
        <v>287</v>
      </c>
      <c r="B34" s="11" t="s">
        <v>294</v>
      </c>
      <c r="C34" s="10" t="s">
        <v>295</v>
      </c>
      <c r="D34" s="10" t="s">
        <v>11</v>
      </c>
      <c r="E34" s="14"/>
      <c r="F34" s="11" t="s">
        <v>301</v>
      </c>
      <c r="G34" s="10" t="s">
        <v>298</v>
      </c>
      <c r="H34" s="11">
        <v>1727</v>
      </c>
      <c r="I34" s="11" t="s">
        <v>301</v>
      </c>
      <c r="J34" s="12" t="str">
        <f t="shared" si="0"/>
        <v>Yes</v>
      </c>
    </row>
    <row r="35" spans="1:10" x14ac:dyDescent="0.3">
      <c r="A35" s="8" t="s">
        <v>287</v>
      </c>
      <c r="B35" s="11" t="s">
        <v>276</v>
      </c>
      <c r="C35" s="10" t="s">
        <v>278</v>
      </c>
      <c r="D35" s="10" t="s">
        <v>11</v>
      </c>
      <c r="E35" s="14"/>
      <c r="F35" s="11" t="s">
        <v>301</v>
      </c>
      <c r="G35" s="10" t="s">
        <v>298</v>
      </c>
      <c r="H35" s="11">
        <v>1730</v>
      </c>
      <c r="I35" s="11" t="s">
        <v>301</v>
      </c>
      <c r="J35" s="12" t="str">
        <f t="shared" si="0"/>
        <v>Yes</v>
      </c>
    </row>
    <row r="36" spans="1:10" x14ac:dyDescent="0.3">
      <c r="A36" s="8" t="s">
        <v>287</v>
      </c>
      <c r="B36" s="11" t="s">
        <v>260</v>
      </c>
      <c r="C36" s="10" t="s">
        <v>10</v>
      </c>
      <c r="D36" s="10"/>
      <c r="E36" s="14" t="s">
        <v>262</v>
      </c>
      <c r="F36" s="11" t="s">
        <v>301</v>
      </c>
      <c r="G36" s="10" t="s">
        <v>298</v>
      </c>
      <c r="H36" s="11">
        <v>1725</v>
      </c>
      <c r="I36" s="11" t="s">
        <v>301</v>
      </c>
      <c r="J36" s="12" t="str">
        <f t="shared" si="0"/>
        <v>Yes</v>
      </c>
    </row>
    <row r="37" spans="1:10" x14ac:dyDescent="0.3">
      <c r="A37" s="3" t="s">
        <v>266</v>
      </c>
      <c r="B37" s="4" t="s">
        <v>267</v>
      </c>
      <c r="C37" s="5" t="s">
        <v>268</v>
      </c>
      <c r="D37" s="5"/>
      <c r="E37" s="13" t="s">
        <v>269</v>
      </c>
      <c r="F37" s="4" t="s">
        <v>301</v>
      </c>
      <c r="G37" s="5" t="s">
        <v>298</v>
      </c>
      <c r="H37" s="4">
        <v>15621</v>
      </c>
      <c r="I37" s="4" t="s">
        <v>301</v>
      </c>
      <c r="J37" s="6" t="str">
        <f t="shared" si="0"/>
        <v>Yes</v>
      </c>
    </row>
    <row r="38" spans="1:10" x14ac:dyDescent="0.3">
      <c r="A38" s="3" t="s">
        <v>266</v>
      </c>
      <c r="B38" s="98" t="s">
        <v>288</v>
      </c>
      <c r="C38" s="97" t="s">
        <v>289</v>
      </c>
      <c r="D38" s="97"/>
      <c r="E38" s="99" t="s">
        <v>290</v>
      </c>
      <c r="F38" s="4" t="s">
        <v>301</v>
      </c>
      <c r="G38" s="5" t="s">
        <v>298</v>
      </c>
      <c r="H38" s="98">
        <v>15624</v>
      </c>
      <c r="I38" s="4" t="s">
        <v>301</v>
      </c>
      <c r="J38" s="100" t="str">
        <f t="shared" si="0"/>
        <v>Yes</v>
      </c>
    </row>
    <row r="39" spans="1:10" x14ac:dyDescent="0.3">
      <c r="A39" s="3" t="s">
        <v>266</v>
      </c>
      <c r="B39" s="98" t="s">
        <v>279</v>
      </c>
      <c r="C39" s="97" t="s">
        <v>280</v>
      </c>
      <c r="D39" s="97"/>
      <c r="E39" s="99" t="s">
        <v>281</v>
      </c>
      <c r="F39" s="4" t="s">
        <v>301</v>
      </c>
      <c r="G39" s="5" t="s">
        <v>298</v>
      </c>
      <c r="H39" s="98">
        <v>15623</v>
      </c>
      <c r="I39" s="4" t="s">
        <v>301</v>
      </c>
      <c r="J39" s="100" t="str">
        <f t="shared" si="0"/>
        <v>Yes</v>
      </c>
    </row>
    <row r="40" spans="1:10" ht="15" thickBot="1" x14ac:dyDescent="0.35">
      <c r="A40" s="87" t="s">
        <v>266</v>
      </c>
      <c r="B40" s="88" t="s">
        <v>270</v>
      </c>
      <c r="C40" s="89" t="s">
        <v>296</v>
      </c>
      <c r="D40" s="89"/>
      <c r="E40" s="101" t="s">
        <v>271</v>
      </c>
      <c r="F40" s="88" t="s">
        <v>301</v>
      </c>
      <c r="G40" s="89" t="s">
        <v>298</v>
      </c>
      <c r="H40" s="88">
        <v>15622</v>
      </c>
      <c r="I40" s="88" t="s">
        <v>301</v>
      </c>
      <c r="J40" s="90" t="str">
        <f t="shared" si="0"/>
        <v>Yes</v>
      </c>
    </row>
  </sheetData>
  <autoFilter ref="A1:J31"/>
  <sortState ref="A2:J39">
    <sortCondition ref="A2:A39"/>
    <sortCondition ref="G2:G39"/>
    <sortCondition ref="B2:B39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L44" sqref="L44"/>
    </sheetView>
  </sheetViews>
  <sheetFormatPr defaultColWidth="9.109375" defaultRowHeight="14.4" x14ac:dyDescent="0.3"/>
  <cols>
    <col min="1" max="1" width="16.109375" style="1" customWidth="1"/>
    <col min="2" max="2" width="12.5546875" style="2" customWidth="1"/>
    <col min="3" max="3" width="29.44140625" style="1" customWidth="1"/>
    <col min="4" max="4" width="11.44140625" style="1" customWidth="1"/>
    <col min="5" max="5" width="29.109375" style="2" bestFit="1" customWidth="1"/>
    <col min="6" max="6" width="17.109375" style="2" customWidth="1"/>
    <col min="7" max="7" width="31.33203125" style="1" customWidth="1"/>
    <col min="8" max="8" width="17.5546875" style="2" customWidth="1"/>
    <col min="9" max="9" width="18.6640625" style="2" customWidth="1"/>
    <col min="10" max="10" width="16.6640625" style="1" customWidth="1"/>
    <col min="11" max="16384" width="9.109375" style="1"/>
  </cols>
  <sheetData>
    <row r="1" spans="1:10" ht="16.2" thickBot="1" x14ac:dyDescent="0.35">
      <c r="A1" s="51" t="s">
        <v>0</v>
      </c>
      <c r="B1" s="54" t="s">
        <v>1</v>
      </c>
      <c r="C1" s="52" t="s">
        <v>4</v>
      </c>
      <c r="D1" s="52" t="s">
        <v>3</v>
      </c>
      <c r="E1" s="55" t="s">
        <v>67</v>
      </c>
      <c r="F1" s="54" t="s">
        <v>2</v>
      </c>
      <c r="G1" s="52" t="s">
        <v>60</v>
      </c>
      <c r="H1" s="54" t="s">
        <v>61</v>
      </c>
      <c r="I1" s="54" t="s">
        <v>141</v>
      </c>
      <c r="J1" s="56" t="s">
        <v>142</v>
      </c>
    </row>
    <row r="2" spans="1:10" x14ac:dyDescent="0.3">
      <c r="A2" s="81" t="s">
        <v>227</v>
      </c>
      <c r="B2" s="91" t="s">
        <v>228</v>
      </c>
      <c r="C2" s="83" t="s">
        <v>10</v>
      </c>
      <c r="D2" s="83"/>
      <c r="E2" s="92"/>
      <c r="F2" s="85" t="s">
        <v>229</v>
      </c>
      <c r="G2" s="83" t="s">
        <v>298</v>
      </c>
      <c r="H2" s="85">
        <v>1722</v>
      </c>
      <c r="I2" s="85" t="s">
        <v>229</v>
      </c>
      <c r="J2" s="86" t="str">
        <f>IF(I2=F2,"YES","NO")</f>
        <v>YES</v>
      </c>
    </row>
    <row r="3" spans="1:10" x14ac:dyDescent="0.3">
      <c r="A3" s="3" t="s">
        <v>227</v>
      </c>
      <c r="B3" s="59" t="s">
        <v>265</v>
      </c>
      <c r="C3" s="5" t="s">
        <v>10</v>
      </c>
      <c r="D3" s="5"/>
      <c r="E3" s="30"/>
      <c r="F3" s="4" t="s">
        <v>229</v>
      </c>
      <c r="G3" s="5" t="s">
        <v>298</v>
      </c>
      <c r="H3" s="4">
        <v>1723</v>
      </c>
      <c r="I3" s="4" t="s">
        <v>229</v>
      </c>
      <c r="J3" s="6" t="str">
        <f>IF(I3=F3,"YES","NO")</f>
        <v>YES</v>
      </c>
    </row>
    <row r="4" spans="1:10" x14ac:dyDescent="0.3">
      <c r="A4" s="8" t="s">
        <v>238</v>
      </c>
      <c r="B4" s="11" t="s">
        <v>239</v>
      </c>
      <c r="C4" s="10" t="s">
        <v>240</v>
      </c>
      <c r="D4" s="10"/>
      <c r="E4" s="60" t="s">
        <v>244</v>
      </c>
      <c r="F4" s="11" t="s">
        <v>66</v>
      </c>
      <c r="G4" s="10" t="s">
        <v>92</v>
      </c>
      <c r="H4" s="11">
        <v>1621</v>
      </c>
      <c r="I4" s="11"/>
      <c r="J4" s="61"/>
    </row>
    <row r="5" spans="1:10" x14ac:dyDescent="0.3">
      <c r="A5" s="3" t="s">
        <v>241</v>
      </c>
      <c r="B5" s="4" t="s">
        <v>242</v>
      </c>
      <c r="C5" s="5" t="s">
        <v>243</v>
      </c>
      <c r="D5" s="5"/>
      <c r="E5" s="58" t="s">
        <v>245</v>
      </c>
      <c r="F5" s="4" t="s">
        <v>66</v>
      </c>
      <c r="G5" s="5" t="s">
        <v>92</v>
      </c>
      <c r="H5" s="4">
        <v>1621</v>
      </c>
      <c r="I5" s="4"/>
      <c r="J5" s="53"/>
    </row>
    <row r="6" spans="1:10" x14ac:dyDescent="0.3">
      <c r="A6" s="8" t="s">
        <v>250</v>
      </c>
      <c r="B6" s="11" t="s">
        <v>251</v>
      </c>
      <c r="C6" s="10" t="s">
        <v>252</v>
      </c>
      <c r="D6" s="10"/>
      <c r="E6" s="60" t="s">
        <v>120</v>
      </c>
      <c r="F6" s="11" t="s">
        <v>66</v>
      </c>
      <c r="G6" s="10" t="s">
        <v>92</v>
      </c>
      <c r="H6" s="11">
        <v>1621</v>
      </c>
      <c r="I6" s="11"/>
      <c r="J6" s="61"/>
    </row>
    <row r="7" spans="1:10" x14ac:dyDescent="0.3">
      <c r="A7" s="3" t="s">
        <v>256</v>
      </c>
      <c r="B7" s="4" t="s">
        <v>257</v>
      </c>
      <c r="C7" s="58" t="s">
        <v>258</v>
      </c>
      <c r="D7" s="5"/>
      <c r="E7" s="57" t="s">
        <v>128</v>
      </c>
      <c r="F7" s="4" t="s">
        <v>66</v>
      </c>
      <c r="G7" s="5" t="s">
        <v>92</v>
      </c>
      <c r="H7" s="4">
        <v>1621</v>
      </c>
      <c r="I7" s="4"/>
      <c r="J7" s="53"/>
    </row>
    <row r="8" spans="1:10" x14ac:dyDescent="0.3">
      <c r="A8" s="8" t="s">
        <v>247</v>
      </c>
      <c r="B8" s="11" t="s">
        <v>248</v>
      </c>
      <c r="C8" s="10" t="s">
        <v>249</v>
      </c>
      <c r="D8" s="10"/>
      <c r="E8" s="60" t="s">
        <v>117</v>
      </c>
      <c r="F8" s="11" t="s">
        <v>66</v>
      </c>
      <c r="G8" s="10" t="s">
        <v>92</v>
      </c>
      <c r="H8" s="11">
        <v>1621</v>
      </c>
      <c r="I8" s="11"/>
      <c r="J8" s="61"/>
    </row>
    <row r="9" spans="1:10" x14ac:dyDescent="0.3">
      <c r="A9" s="3" t="s">
        <v>253</v>
      </c>
      <c r="B9" s="4" t="s">
        <v>254</v>
      </c>
      <c r="C9" s="5" t="s">
        <v>255</v>
      </c>
      <c r="D9" s="5"/>
      <c r="E9" s="57" t="s">
        <v>124</v>
      </c>
      <c r="F9" s="4" t="s">
        <v>66</v>
      </c>
      <c r="G9" s="5" t="s">
        <v>92</v>
      </c>
      <c r="H9" s="4">
        <v>1621</v>
      </c>
      <c r="I9" s="4"/>
      <c r="J9" s="53"/>
    </row>
    <row r="10" spans="1:10" x14ac:dyDescent="0.3">
      <c r="A10" s="8" t="s">
        <v>170</v>
      </c>
      <c r="B10" s="95" t="s">
        <v>143</v>
      </c>
      <c r="C10" s="10"/>
      <c r="D10" s="10"/>
      <c r="E10" s="14"/>
      <c r="F10" s="11" t="s">
        <v>27</v>
      </c>
      <c r="G10" s="10" t="s">
        <v>90</v>
      </c>
      <c r="H10" s="11">
        <v>15889</v>
      </c>
      <c r="I10" s="11"/>
      <c r="J10" s="12" t="str">
        <f t="shared" ref="J10:J40" si="0">IF(I10=F10,"YES","NO")</f>
        <v>NO</v>
      </c>
    </row>
    <row r="11" spans="1:10" x14ac:dyDescent="0.3">
      <c r="A11" s="8" t="s">
        <v>170</v>
      </c>
      <c r="B11" s="95" t="s">
        <v>153</v>
      </c>
      <c r="C11" s="10"/>
      <c r="D11" s="10"/>
      <c r="E11" s="14"/>
      <c r="F11" s="11" t="s">
        <v>27</v>
      </c>
      <c r="G11" s="10" t="s">
        <v>90</v>
      </c>
      <c r="H11" s="11">
        <v>15400</v>
      </c>
      <c r="I11" s="11"/>
      <c r="J11" s="12" t="str">
        <f t="shared" si="0"/>
        <v>NO</v>
      </c>
    </row>
    <row r="12" spans="1:10" x14ac:dyDescent="0.3">
      <c r="A12" s="8" t="s">
        <v>170</v>
      </c>
      <c r="B12" s="95" t="s">
        <v>156</v>
      </c>
      <c r="C12" s="10"/>
      <c r="D12" s="10"/>
      <c r="E12" s="14"/>
      <c r="F12" s="11" t="s">
        <v>6</v>
      </c>
      <c r="G12" s="10" t="s">
        <v>188</v>
      </c>
      <c r="H12" s="11">
        <v>15401</v>
      </c>
      <c r="I12" s="11" t="s">
        <v>6</v>
      </c>
      <c r="J12" s="12" t="str">
        <f t="shared" si="0"/>
        <v>YES</v>
      </c>
    </row>
    <row r="13" spans="1:10" x14ac:dyDescent="0.3">
      <c r="A13" s="8" t="s">
        <v>170</v>
      </c>
      <c r="B13" s="95" t="s">
        <v>149</v>
      </c>
      <c r="C13" s="10"/>
      <c r="D13" s="10"/>
      <c r="E13" s="14"/>
      <c r="F13" s="11" t="s">
        <v>6</v>
      </c>
      <c r="G13" s="10" t="s">
        <v>188</v>
      </c>
      <c r="H13" s="11">
        <v>15888</v>
      </c>
      <c r="I13" s="11"/>
      <c r="J13" s="12" t="str">
        <f t="shared" si="0"/>
        <v>NO</v>
      </c>
    </row>
    <row r="14" spans="1:10" x14ac:dyDescent="0.3">
      <c r="A14" s="3" t="s">
        <v>171</v>
      </c>
      <c r="B14" s="94" t="s">
        <v>144</v>
      </c>
      <c r="C14" s="5" t="s">
        <v>285</v>
      </c>
      <c r="D14" s="5"/>
      <c r="E14" s="30"/>
      <c r="F14" s="4" t="s">
        <v>180</v>
      </c>
      <c r="G14" s="5" t="s">
        <v>189</v>
      </c>
      <c r="H14" s="4">
        <v>15220</v>
      </c>
      <c r="I14" s="4" t="s">
        <v>24</v>
      </c>
      <c r="J14" s="6" t="str">
        <f t="shared" si="0"/>
        <v>NO</v>
      </c>
    </row>
    <row r="15" spans="1:10" x14ac:dyDescent="0.3">
      <c r="A15" s="31" t="s">
        <v>172</v>
      </c>
      <c r="B15" s="95" t="s">
        <v>154</v>
      </c>
      <c r="C15" s="60" t="s">
        <v>282</v>
      </c>
      <c r="D15" s="10"/>
      <c r="E15" s="15"/>
      <c r="F15" s="11" t="s">
        <v>64</v>
      </c>
      <c r="G15" s="10" t="s">
        <v>63</v>
      </c>
      <c r="H15" s="11">
        <v>13307</v>
      </c>
      <c r="I15" s="11" t="s">
        <v>64</v>
      </c>
      <c r="J15" s="12" t="str">
        <f t="shared" si="0"/>
        <v>YES</v>
      </c>
    </row>
    <row r="16" spans="1:10" x14ac:dyDescent="0.3">
      <c r="A16" s="7" t="s">
        <v>190</v>
      </c>
      <c r="B16" s="59" t="s">
        <v>263</v>
      </c>
      <c r="C16" s="5" t="s">
        <v>264</v>
      </c>
      <c r="D16" s="5"/>
      <c r="E16" s="13"/>
      <c r="F16" s="4" t="s">
        <v>297</v>
      </c>
      <c r="G16" s="5" t="s">
        <v>298</v>
      </c>
      <c r="H16" s="4">
        <v>15621</v>
      </c>
      <c r="I16" s="4" t="s">
        <v>297</v>
      </c>
      <c r="J16" s="6" t="str">
        <f t="shared" si="0"/>
        <v>YES</v>
      </c>
    </row>
    <row r="17" spans="1:10" x14ac:dyDescent="0.3">
      <c r="A17" s="8" t="s">
        <v>173</v>
      </c>
      <c r="B17" s="9" t="s">
        <v>150</v>
      </c>
      <c r="C17" s="10" t="s">
        <v>94</v>
      </c>
      <c r="D17" s="10"/>
      <c r="E17" s="14"/>
      <c r="F17" s="11" t="s">
        <v>64</v>
      </c>
      <c r="G17" s="10" t="s">
        <v>63</v>
      </c>
      <c r="H17" s="11">
        <v>15239</v>
      </c>
      <c r="I17" s="11" t="s">
        <v>64</v>
      </c>
      <c r="J17" s="12" t="str">
        <f t="shared" si="0"/>
        <v>YES</v>
      </c>
    </row>
    <row r="18" spans="1:10" x14ac:dyDescent="0.3">
      <c r="A18" s="8" t="s">
        <v>173</v>
      </c>
      <c r="B18" s="9" t="s">
        <v>145</v>
      </c>
      <c r="C18" s="10"/>
      <c r="D18" s="10"/>
      <c r="E18" s="14"/>
      <c r="F18" s="11" t="s">
        <v>64</v>
      </c>
      <c r="G18" s="10" t="s">
        <v>63</v>
      </c>
      <c r="H18" s="11">
        <v>15238</v>
      </c>
      <c r="I18" s="11" t="s">
        <v>64</v>
      </c>
      <c r="J18" s="12" t="str">
        <f t="shared" si="0"/>
        <v>YES</v>
      </c>
    </row>
    <row r="19" spans="1:10" x14ac:dyDescent="0.3">
      <c r="A19" s="3" t="s">
        <v>174</v>
      </c>
      <c r="B19" s="59" t="s">
        <v>151</v>
      </c>
      <c r="C19" s="5" t="s">
        <v>286</v>
      </c>
      <c r="D19" s="5"/>
      <c r="E19" s="13"/>
      <c r="F19" s="4" t="s">
        <v>66</v>
      </c>
      <c r="G19" s="5" t="s">
        <v>299</v>
      </c>
      <c r="H19" s="4">
        <v>15589</v>
      </c>
      <c r="I19" s="4" t="s">
        <v>66</v>
      </c>
      <c r="J19" s="6" t="str">
        <f t="shared" si="0"/>
        <v>YES</v>
      </c>
    </row>
    <row r="20" spans="1:10" x14ac:dyDescent="0.3">
      <c r="A20" s="3" t="s">
        <v>174</v>
      </c>
      <c r="B20" s="94" t="s">
        <v>146</v>
      </c>
      <c r="C20" s="5" t="s">
        <v>302</v>
      </c>
      <c r="D20" s="5"/>
      <c r="E20" s="13"/>
      <c r="F20" s="4" t="s">
        <v>27</v>
      </c>
      <c r="G20" s="5" t="s">
        <v>90</v>
      </c>
      <c r="H20" s="4"/>
      <c r="I20" s="4"/>
      <c r="J20" s="6" t="str">
        <f t="shared" si="0"/>
        <v>NO</v>
      </c>
    </row>
    <row r="21" spans="1:10" x14ac:dyDescent="0.3">
      <c r="A21" s="3" t="s">
        <v>174</v>
      </c>
      <c r="B21" s="59" t="s">
        <v>155</v>
      </c>
      <c r="C21" s="5" t="s">
        <v>181</v>
      </c>
      <c r="D21" s="5"/>
      <c r="E21" s="13"/>
      <c r="F21" s="4" t="s">
        <v>66</v>
      </c>
      <c r="G21" s="5" t="s">
        <v>299</v>
      </c>
      <c r="H21" s="4">
        <v>1721</v>
      </c>
      <c r="I21" s="4" t="s">
        <v>66</v>
      </c>
      <c r="J21" s="6" t="str">
        <f t="shared" si="0"/>
        <v>YES</v>
      </c>
    </row>
    <row r="22" spans="1:10" x14ac:dyDescent="0.3">
      <c r="A22" s="8" t="s">
        <v>175</v>
      </c>
      <c r="B22" s="96" t="s">
        <v>147</v>
      </c>
      <c r="C22" s="10"/>
      <c r="D22" s="10"/>
      <c r="E22" s="14"/>
      <c r="F22" s="11" t="s">
        <v>66</v>
      </c>
      <c r="G22" s="10" t="s">
        <v>299</v>
      </c>
      <c r="H22" s="11"/>
      <c r="I22" s="11" t="s">
        <v>66</v>
      </c>
      <c r="J22" s="12" t="str">
        <f t="shared" si="0"/>
        <v>YES</v>
      </c>
    </row>
    <row r="23" spans="1:10" x14ac:dyDescent="0.3">
      <c r="A23" s="8" t="s">
        <v>175</v>
      </c>
      <c r="B23" s="96" t="s">
        <v>152</v>
      </c>
      <c r="C23" s="10"/>
      <c r="D23" s="10"/>
      <c r="E23" s="14"/>
      <c r="F23" s="11" t="s">
        <v>187</v>
      </c>
      <c r="G23" s="10" t="s">
        <v>89</v>
      </c>
      <c r="H23" s="11"/>
      <c r="I23" s="11" t="s">
        <v>187</v>
      </c>
      <c r="J23" s="12" t="str">
        <f t="shared" si="0"/>
        <v>YES</v>
      </c>
    </row>
    <row r="24" spans="1:10" x14ac:dyDescent="0.3">
      <c r="A24" s="3" t="s">
        <v>176</v>
      </c>
      <c r="B24" s="4" t="s">
        <v>148</v>
      </c>
      <c r="C24" s="5" t="s">
        <v>185</v>
      </c>
      <c r="D24" s="5"/>
      <c r="E24" s="13"/>
      <c r="F24" s="4" t="s">
        <v>66</v>
      </c>
      <c r="G24" s="5" t="s">
        <v>299</v>
      </c>
      <c r="H24" s="4"/>
      <c r="I24" s="4" t="s">
        <v>66</v>
      </c>
      <c r="J24" s="6" t="str">
        <f t="shared" si="0"/>
        <v>YES</v>
      </c>
    </row>
    <row r="25" spans="1:10" x14ac:dyDescent="0.3">
      <c r="A25" s="8" t="s">
        <v>177</v>
      </c>
      <c r="B25" s="9" t="s">
        <v>157</v>
      </c>
      <c r="C25" s="10"/>
      <c r="D25" s="10"/>
      <c r="E25" s="14"/>
      <c r="F25" s="11" t="s">
        <v>64</v>
      </c>
      <c r="G25" s="10" t="s">
        <v>63</v>
      </c>
      <c r="H25" s="11"/>
      <c r="I25" s="11" t="s">
        <v>64</v>
      </c>
      <c r="J25" s="12" t="str">
        <f t="shared" si="0"/>
        <v>YES</v>
      </c>
    </row>
    <row r="26" spans="1:10" x14ac:dyDescent="0.3">
      <c r="A26" s="8" t="s">
        <v>177</v>
      </c>
      <c r="B26" s="9" t="s">
        <v>160</v>
      </c>
      <c r="C26" s="10" t="s">
        <v>222</v>
      </c>
      <c r="D26" s="10"/>
      <c r="E26" s="14"/>
      <c r="F26" s="11" t="s">
        <v>27</v>
      </c>
      <c r="G26" s="10" t="s">
        <v>90</v>
      </c>
      <c r="H26" s="11"/>
      <c r="I26" s="11" t="s">
        <v>24</v>
      </c>
      <c r="J26" s="12" t="str">
        <f t="shared" si="0"/>
        <v>NO</v>
      </c>
    </row>
    <row r="27" spans="1:10" x14ac:dyDescent="0.3">
      <c r="A27" s="8" t="s">
        <v>177</v>
      </c>
      <c r="B27" s="9" t="s">
        <v>164</v>
      </c>
      <c r="C27" s="10" t="s">
        <v>50</v>
      </c>
      <c r="D27" s="10"/>
      <c r="E27" s="14"/>
      <c r="F27" s="11" t="s">
        <v>24</v>
      </c>
      <c r="G27" s="10" t="s">
        <v>299</v>
      </c>
      <c r="H27" s="11"/>
      <c r="I27" s="11" t="s">
        <v>24</v>
      </c>
      <c r="J27" s="12" t="str">
        <f t="shared" si="0"/>
        <v>YES</v>
      </c>
    </row>
    <row r="28" spans="1:10" x14ac:dyDescent="0.3">
      <c r="A28" s="3" t="s">
        <v>178</v>
      </c>
      <c r="B28" s="59" t="s">
        <v>158</v>
      </c>
      <c r="C28" s="5" t="s">
        <v>186</v>
      </c>
      <c r="D28" s="5"/>
      <c r="E28" s="13"/>
      <c r="F28" s="4" t="s">
        <v>64</v>
      </c>
      <c r="G28" s="5" t="s">
        <v>63</v>
      </c>
      <c r="H28" s="4"/>
      <c r="I28" s="4" t="s">
        <v>64</v>
      </c>
      <c r="J28" s="6" t="str">
        <f t="shared" si="0"/>
        <v>YES</v>
      </c>
    </row>
    <row r="29" spans="1:10" x14ac:dyDescent="0.3">
      <c r="A29" s="3" t="s">
        <v>178</v>
      </c>
      <c r="B29" s="94" t="s">
        <v>169</v>
      </c>
      <c r="C29" s="5"/>
      <c r="D29" s="5"/>
      <c r="E29" s="13"/>
      <c r="F29" s="4" t="s">
        <v>27</v>
      </c>
      <c r="G29" s="5" t="s">
        <v>90</v>
      </c>
      <c r="H29" s="4"/>
      <c r="I29" s="4" t="s">
        <v>24</v>
      </c>
      <c r="J29" s="6" t="str">
        <f t="shared" si="0"/>
        <v>NO</v>
      </c>
    </row>
    <row r="30" spans="1:10" x14ac:dyDescent="0.3">
      <c r="A30" s="3" t="s">
        <v>178</v>
      </c>
      <c r="B30" s="59" t="s">
        <v>165</v>
      </c>
      <c r="C30" s="5" t="s">
        <v>28</v>
      </c>
      <c r="D30" s="5"/>
      <c r="E30" s="13"/>
      <c r="F30" s="4" t="s">
        <v>66</v>
      </c>
      <c r="G30" s="5" t="s">
        <v>299</v>
      </c>
      <c r="H30" s="4"/>
      <c r="I30" s="4" t="s">
        <v>66</v>
      </c>
      <c r="J30" s="6" t="str">
        <f t="shared" si="0"/>
        <v>YES</v>
      </c>
    </row>
    <row r="31" spans="1:10" x14ac:dyDescent="0.3">
      <c r="A31" s="3" t="s">
        <v>178</v>
      </c>
      <c r="B31" s="59" t="s">
        <v>162</v>
      </c>
      <c r="C31" s="5" t="s">
        <v>28</v>
      </c>
      <c r="D31" s="5"/>
      <c r="E31" s="13"/>
      <c r="F31" s="4" t="s">
        <v>66</v>
      </c>
      <c r="G31" s="5" t="s">
        <v>299</v>
      </c>
      <c r="H31" s="4"/>
      <c r="I31" s="4" t="s">
        <v>66</v>
      </c>
      <c r="J31" s="6" t="str">
        <f t="shared" si="0"/>
        <v>YES</v>
      </c>
    </row>
    <row r="32" spans="1:10" x14ac:dyDescent="0.3">
      <c r="A32" s="3" t="s">
        <v>178</v>
      </c>
      <c r="B32" s="59" t="s">
        <v>166</v>
      </c>
      <c r="C32" s="5" t="s">
        <v>25</v>
      </c>
      <c r="D32" s="5"/>
      <c r="E32" s="30"/>
      <c r="F32" s="4" t="s">
        <v>66</v>
      </c>
      <c r="G32" s="5" t="s">
        <v>299</v>
      </c>
      <c r="H32" s="4"/>
      <c r="I32" s="4" t="s">
        <v>66</v>
      </c>
      <c r="J32" s="6" t="str">
        <f t="shared" si="0"/>
        <v>YES</v>
      </c>
    </row>
    <row r="33" spans="1:10" x14ac:dyDescent="0.3">
      <c r="A33" s="3" t="s">
        <v>178</v>
      </c>
      <c r="B33" s="59" t="s">
        <v>168</v>
      </c>
      <c r="C33" s="5" t="s">
        <v>25</v>
      </c>
      <c r="D33" s="5"/>
      <c r="E33" s="13"/>
      <c r="F33" s="4" t="s">
        <v>66</v>
      </c>
      <c r="G33" s="5" t="s">
        <v>299</v>
      </c>
      <c r="H33" s="4"/>
      <c r="I33" s="4" t="s">
        <v>66</v>
      </c>
      <c r="J33" s="6" t="str">
        <f t="shared" si="0"/>
        <v>YES</v>
      </c>
    </row>
    <row r="34" spans="1:10" x14ac:dyDescent="0.3">
      <c r="A34" s="3" t="s">
        <v>178</v>
      </c>
      <c r="B34" s="94" t="s">
        <v>152</v>
      </c>
      <c r="C34" s="5"/>
      <c r="D34" s="5"/>
      <c r="E34" s="13"/>
      <c r="F34" s="4" t="s">
        <v>65</v>
      </c>
      <c r="G34" s="5" t="s">
        <v>89</v>
      </c>
      <c r="H34" s="4"/>
      <c r="I34" s="4" t="s">
        <v>65</v>
      </c>
      <c r="J34" s="6" t="str">
        <f t="shared" si="0"/>
        <v>YES</v>
      </c>
    </row>
    <row r="35" spans="1:10" x14ac:dyDescent="0.3">
      <c r="A35" s="8" t="s">
        <v>179</v>
      </c>
      <c r="B35" s="9" t="s">
        <v>161</v>
      </c>
      <c r="C35" s="10" t="s">
        <v>183</v>
      </c>
      <c r="D35" s="10"/>
      <c r="E35" s="14" t="s">
        <v>199</v>
      </c>
      <c r="F35" s="11" t="s">
        <v>66</v>
      </c>
      <c r="G35" s="10" t="s">
        <v>299</v>
      </c>
      <c r="H35" s="11">
        <v>15211</v>
      </c>
      <c r="I35" s="11" t="s">
        <v>66</v>
      </c>
      <c r="J35" s="12" t="str">
        <f t="shared" si="0"/>
        <v>YES</v>
      </c>
    </row>
    <row r="36" spans="1:10" x14ac:dyDescent="0.3">
      <c r="A36" s="8" t="s">
        <v>179</v>
      </c>
      <c r="B36" s="9" t="s">
        <v>163</v>
      </c>
      <c r="C36" s="10" t="s">
        <v>182</v>
      </c>
      <c r="D36" s="10"/>
      <c r="E36" s="14" t="s">
        <v>200</v>
      </c>
      <c r="F36" s="11" t="s">
        <v>66</v>
      </c>
      <c r="G36" s="10" t="s">
        <v>299</v>
      </c>
      <c r="H36" s="11">
        <v>15248</v>
      </c>
      <c r="I36" s="11" t="s">
        <v>66</v>
      </c>
      <c r="J36" s="12" t="str">
        <f t="shared" si="0"/>
        <v>YES</v>
      </c>
    </row>
    <row r="37" spans="1:10" x14ac:dyDescent="0.3">
      <c r="A37" s="8" t="s">
        <v>179</v>
      </c>
      <c r="B37" s="9" t="s">
        <v>159</v>
      </c>
      <c r="C37" s="10" t="s">
        <v>184</v>
      </c>
      <c r="D37" s="10"/>
      <c r="E37" s="14" t="s">
        <v>198</v>
      </c>
      <c r="F37" s="11" t="s">
        <v>66</v>
      </c>
      <c r="G37" s="10" t="s">
        <v>299</v>
      </c>
      <c r="H37" s="11">
        <v>15245</v>
      </c>
      <c r="I37" s="11" t="s">
        <v>66</v>
      </c>
      <c r="J37" s="12" t="str">
        <f t="shared" si="0"/>
        <v>YES</v>
      </c>
    </row>
    <row r="38" spans="1:10" x14ac:dyDescent="0.3">
      <c r="A38" s="8" t="s">
        <v>179</v>
      </c>
      <c r="B38" s="9" t="s">
        <v>167</v>
      </c>
      <c r="C38" s="10" t="s">
        <v>34</v>
      </c>
      <c r="D38" s="10"/>
      <c r="E38" s="14"/>
      <c r="F38" s="11" t="s">
        <v>66</v>
      </c>
      <c r="G38" s="10" t="s">
        <v>299</v>
      </c>
      <c r="H38" s="11">
        <v>15213</v>
      </c>
      <c r="I38" s="11" t="s">
        <v>66</v>
      </c>
      <c r="J38" s="12" t="str">
        <f t="shared" si="0"/>
        <v>YES</v>
      </c>
    </row>
    <row r="39" spans="1:10" x14ac:dyDescent="0.3">
      <c r="A39" s="102" t="s">
        <v>272</v>
      </c>
      <c r="B39" s="103" t="s">
        <v>303</v>
      </c>
      <c r="C39" s="97" t="s">
        <v>94</v>
      </c>
      <c r="D39" s="97"/>
      <c r="E39" s="99" t="s">
        <v>304</v>
      </c>
      <c r="F39" s="98" t="s">
        <v>229</v>
      </c>
      <c r="G39" s="104" t="s">
        <v>298</v>
      </c>
      <c r="H39" s="98">
        <v>15624</v>
      </c>
      <c r="I39" s="98" t="s">
        <v>229</v>
      </c>
      <c r="J39" s="100" t="str">
        <f t="shared" si="0"/>
        <v>YES</v>
      </c>
    </row>
    <row r="40" spans="1:10" ht="15" thickBot="1" x14ac:dyDescent="0.35">
      <c r="A40" s="87" t="s">
        <v>272</v>
      </c>
      <c r="B40" s="88" t="s">
        <v>273</v>
      </c>
      <c r="C40" s="89" t="s">
        <v>284</v>
      </c>
      <c r="D40" s="89"/>
      <c r="E40" s="93" t="s">
        <v>274</v>
      </c>
      <c r="F40" s="88" t="s">
        <v>229</v>
      </c>
      <c r="G40" s="89" t="s">
        <v>298</v>
      </c>
      <c r="H40" s="88">
        <v>15622</v>
      </c>
      <c r="I40" s="88" t="s">
        <v>229</v>
      </c>
      <c r="J40" s="90" t="str">
        <f t="shared" si="0"/>
        <v>YES</v>
      </c>
    </row>
  </sheetData>
  <autoFilter ref="A1:J32"/>
  <sortState ref="A2:J43">
    <sortCondition ref="A2:A43"/>
    <sortCondition ref="F2:F43"/>
    <sortCondition ref="B2:B43"/>
  </sortState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G19" sqref="G19"/>
    </sheetView>
  </sheetViews>
  <sheetFormatPr defaultRowHeight="14.4" x14ac:dyDescent="0.3"/>
  <cols>
    <col min="1" max="1" width="16" bestFit="1" customWidth="1"/>
    <col min="2" max="2" width="17" bestFit="1" customWidth="1"/>
    <col min="3" max="3" width="11.44140625" style="32" customWidth="1"/>
    <col min="4" max="4" width="29.44140625" bestFit="1" customWidth="1"/>
    <col min="5" max="5" width="13.6640625" style="32" customWidth="1"/>
    <col min="6" max="6" width="7.6640625" bestFit="1" customWidth="1"/>
    <col min="7" max="7" width="11" bestFit="1" customWidth="1"/>
    <col min="8" max="8" width="11.6640625" bestFit="1" customWidth="1"/>
  </cols>
  <sheetData>
    <row r="1" spans="1:9" ht="18.600000000000001" thickBot="1" x14ac:dyDescent="0.35">
      <c r="A1" s="40" t="s">
        <v>98</v>
      </c>
      <c r="B1" s="40" t="s">
        <v>99</v>
      </c>
      <c r="C1" s="41" t="s">
        <v>100</v>
      </c>
      <c r="D1" s="41" t="s">
        <v>101</v>
      </c>
      <c r="E1" s="41" t="s">
        <v>102</v>
      </c>
      <c r="F1" s="41" t="s">
        <v>103</v>
      </c>
      <c r="G1" s="41" t="s">
        <v>104</v>
      </c>
      <c r="H1" s="41" t="s">
        <v>105</v>
      </c>
      <c r="I1" s="39" t="s">
        <v>224</v>
      </c>
    </row>
    <row r="2" spans="1:9" x14ac:dyDescent="0.3">
      <c r="A2" s="62" t="s">
        <v>126</v>
      </c>
      <c r="B2" s="65" t="s">
        <v>108</v>
      </c>
      <c r="C2" s="68" t="s">
        <v>130</v>
      </c>
      <c r="D2" s="71" t="s">
        <v>131</v>
      </c>
      <c r="E2" s="68" t="s">
        <v>132</v>
      </c>
      <c r="F2" s="71">
        <v>4</v>
      </c>
      <c r="G2" s="71">
        <v>40</v>
      </c>
      <c r="H2" s="71">
        <v>400</v>
      </c>
      <c r="I2" s="75">
        <v>1621</v>
      </c>
    </row>
    <row r="3" spans="1:9" x14ac:dyDescent="0.3">
      <c r="A3" s="27" t="s">
        <v>133</v>
      </c>
      <c r="B3" s="26" t="s">
        <v>138</v>
      </c>
      <c r="C3" s="29" t="s">
        <v>139</v>
      </c>
      <c r="D3" s="28" t="s">
        <v>223</v>
      </c>
      <c r="E3" s="29" t="s">
        <v>140</v>
      </c>
      <c r="F3" s="43"/>
      <c r="G3" s="43"/>
      <c r="H3" s="43"/>
      <c r="I3" s="42">
        <v>15610</v>
      </c>
    </row>
    <row r="4" spans="1:9" x14ac:dyDescent="0.3">
      <c r="A4" s="3" t="s">
        <v>133</v>
      </c>
      <c r="B4" s="5" t="s">
        <v>226</v>
      </c>
      <c r="C4" s="29" t="s">
        <v>139</v>
      </c>
      <c r="D4" s="72" t="s">
        <v>225</v>
      </c>
      <c r="E4" s="29"/>
      <c r="F4" s="26"/>
      <c r="G4" s="26"/>
      <c r="H4" s="26"/>
      <c r="I4" s="42">
        <v>15620</v>
      </c>
    </row>
    <row r="5" spans="1:9" x14ac:dyDescent="0.3">
      <c r="A5" s="27" t="s">
        <v>133</v>
      </c>
      <c r="B5" s="26" t="s">
        <v>108</v>
      </c>
      <c r="C5" s="50" t="s">
        <v>136</v>
      </c>
      <c r="D5" s="28" t="s">
        <v>86</v>
      </c>
      <c r="E5" s="29" t="s">
        <v>137</v>
      </c>
      <c r="F5" s="28">
        <v>4</v>
      </c>
      <c r="G5" s="28">
        <v>40</v>
      </c>
      <c r="H5" s="28">
        <v>400</v>
      </c>
      <c r="I5" s="42">
        <v>1621</v>
      </c>
    </row>
    <row r="6" spans="1:9" x14ac:dyDescent="0.3">
      <c r="A6" s="27" t="s">
        <v>133</v>
      </c>
      <c r="B6" s="26" t="s">
        <v>115</v>
      </c>
      <c r="C6" s="50" t="s">
        <v>134</v>
      </c>
      <c r="D6" s="28" t="s">
        <v>87</v>
      </c>
      <c r="E6" s="29" t="s">
        <v>135</v>
      </c>
      <c r="F6" s="28">
        <v>4</v>
      </c>
      <c r="G6" s="28">
        <v>40</v>
      </c>
      <c r="H6" s="28">
        <v>400</v>
      </c>
      <c r="I6" s="42">
        <v>1621</v>
      </c>
    </row>
    <row r="7" spans="1:9" x14ac:dyDescent="0.3">
      <c r="A7" s="64" t="s">
        <v>107</v>
      </c>
      <c r="B7" s="67" t="s">
        <v>108</v>
      </c>
      <c r="C7" s="70" t="s">
        <v>109</v>
      </c>
      <c r="D7" s="74" t="s">
        <v>246</v>
      </c>
      <c r="E7" s="70"/>
      <c r="F7" s="74"/>
      <c r="G7" s="74"/>
      <c r="H7" s="74"/>
      <c r="I7" s="77"/>
    </row>
    <row r="8" spans="1:9" x14ac:dyDescent="0.3">
      <c r="A8" s="17" t="s">
        <v>110</v>
      </c>
      <c r="B8" s="23" t="s">
        <v>108</v>
      </c>
      <c r="C8" s="47" t="s">
        <v>111</v>
      </c>
      <c r="D8" s="20" t="s">
        <v>112</v>
      </c>
      <c r="E8" s="47" t="s">
        <v>113</v>
      </c>
      <c r="F8" s="20">
        <v>4</v>
      </c>
      <c r="G8" s="20">
        <v>40</v>
      </c>
      <c r="H8" s="20">
        <v>400</v>
      </c>
      <c r="I8" s="46"/>
    </row>
    <row r="9" spans="1:9" x14ac:dyDescent="0.3">
      <c r="A9" s="18" t="s">
        <v>114</v>
      </c>
      <c r="B9" s="24" t="s">
        <v>108</v>
      </c>
      <c r="C9" s="48" t="s">
        <v>119</v>
      </c>
      <c r="D9" s="21" t="s">
        <v>120</v>
      </c>
      <c r="E9" s="48" t="s">
        <v>121</v>
      </c>
      <c r="F9" s="21">
        <v>4</v>
      </c>
      <c r="G9" s="21">
        <v>40</v>
      </c>
      <c r="H9" s="21">
        <v>400</v>
      </c>
      <c r="I9" s="44"/>
    </row>
    <row r="10" spans="1:9" x14ac:dyDescent="0.3">
      <c r="A10" s="19" t="s">
        <v>126</v>
      </c>
      <c r="B10" s="25" t="s">
        <v>115</v>
      </c>
      <c r="C10" s="49" t="s">
        <v>127</v>
      </c>
      <c r="D10" s="22" t="s">
        <v>128</v>
      </c>
      <c r="E10" s="49" t="s">
        <v>129</v>
      </c>
      <c r="F10" s="22" t="s">
        <v>106</v>
      </c>
      <c r="G10" s="22" t="s">
        <v>106</v>
      </c>
      <c r="H10" s="22" t="s">
        <v>106</v>
      </c>
      <c r="I10" s="45"/>
    </row>
    <row r="11" spans="1:9" x14ac:dyDescent="0.3">
      <c r="A11" s="18" t="s">
        <v>114</v>
      </c>
      <c r="B11" s="24" t="s">
        <v>115</v>
      </c>
      <c r="C11" s="48" t="s">
        <v>116</v>
      </c>
      <c r="D11" s="21" t="s">
        <v>117</v>
      </c>
      <c r="E11" s="48" t="s">
        <v>118</v>
      </c>
      <c r="F11" s="21"/>
      <c r="G11" s="21"/>
      <c r="H11" s="21"/>
      <c r="I11" s="44"/>
    </row>
    <row r="12" spans="1:9" ht="15" thickBot="1" x14ac:dyDescent="0.35">
      <c r="A12" s="63" t="s">
        <v>122</v>
      </c>
      <c r="B12" s="66" t="s">
        <v>108</v>
      </c>
      <c r="C12" s="69" t="s">
        <v>123</v>
      </c>
      <c r="D12" s="73" t="s">
        <v>124</v>
      </c>
      <c r="E12" s="69" t="s">
        <v>125</v>
      </c>
      <c r="F12" s="73">
        <v>4</v>
      </c>
      <c r="G12" s="73">
        <v>40</v>
      </c>
      <c r="H12" s="73">
        <v>400</v>
      </c>
      <c r="I12" s="76">
        <v>1621</v>
      </c>
    </row>
  </sheetData>
  <sortState ref="A2:I12">
    <sortCondition ref="C2:C12"/>
    <sortCondition ref="A2:A1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1" sqref="D11"/>
    </sheetView>
  </sheetViews>
  <sheetFormatPr defaultRowHeight="14.4" x14ac:dyDescent="0.3"/>
  <cols>
    <col min="1" max="1" width="7.109375" style="32" customWidth="1"/>
    <col min="2" max="2" width="15.33203125" customWidth="1"/>
    <col min="3" max="3" width="17.44140625" customWidth="1"/>
    <col min="4" max="4" width="17.6640625" customWidth="1"/>
  </cols>
  <sheetData>
    <row r="1" spans="1:4" ht="21" x14ac:dyDescent="0.4">
      <c r="A1" s="105" t="s">
        <v>201</v>
      </c>
      <c r="B1" s="105"/>
      <c r="C1" s="105"/>
      <c r="D1" s="105"/>
    </row>
    <row r="2" spans="1:4" x14ac:dyDescent="0.3">
      <c r="A2" s="34" t="s">
        <v>202</v>
      </c>
      <c r="B2" s="33" t="s">
        <v>203</v>
      </c>
      <c r="C2" s="33" t="s">
        <v>204</v>
      </c>
      <c r="D2" s="33" t="s">
        <v>205</v>
      </c>
    </row>
    <row r="3" spans="1:4" x14ac:dyDescent="0.3">
      <c r="A3" s="29">
        <v>1</v>
      </c>
      <c r="B3" s="26" t="s">
        <v>206</v>
      </c>
      <c r="C3" s="26" t="s">
        <v>207</v>
      </c>
      <c r="D3" s="26" t="s">
        <v>208</v>
      </c>
    </row>
    <row r="4" spans="1:4" x14ac:dyDescent="0.3">
      <c r="A4" s="29">
        <v>2</v>
      </c>
      <c r="B4" s="26" t="s">
        <v>209</v>
      </c>
      <c r="C4" s="26" t="s">
        <v>210</v>
      </c>
      <c r="D4" s="26" t="s">
        <v>211</v>
      </c>
    </row>
    <row r="5" spans="1:4" x14ac:dyDescent="0.3">
      <c r="A5" s="29">
        <v>3</v>
      </c>
      <c r="B5" s="26" t="s">
        <v>212</v>
      </c>
      <c r="C5" s="26" t="s">
        <v>213</v>
      </c>
      <c r="D5" s="26" t="s">
        <v>214</v>
      </c>
    </row>
    <row r="6" spans="1:4" x14ac:dyDescent="0.3">
      <c r="A6" s="29">
        <v>4</v>
      </c>
      <c r="B6" s="26" t="s">
        <v>215</v>
      </c>
      <c r="C6" s="26" t="s">
        <v>216</v>
      </c>
      <c r="D6" s="26" t="s">
        <v>217</v>
      </c>
    </row>
    <row r="7" spans="1:4" x14ac:dyDescent="0.3">
      <c r="A7" s="29">
        <v>5</v>
      </c>
      <c r="B7" s="26" t="s">
        <v>218</v>
      </c>
      <c r="C7" s="26" t="s">
        <v>219</v>
      </c>
      <c r="D7" s="26" t="s">
        <v>220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71747A83F7641B62BB96D00F7A828" ma:contentTypeVersion="2" ma:contentTypeDescription="Create a new document." ma:contentTypeScope="" ma:versionID="2410a5d91111490b75ba99f0efbd06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e4863383729cb444416dcdc8f5e0b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DB6F99-CADC-4FA9-89E6-92B550EB8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57FB20-2303-428E-9152-D63BB57346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9F500-47E1-4515-B8C0-866BE5EC47C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</vt:lpstr>
      <vt:lpstr>DEV</vt:lpstr>
      <vt:lpstr>EBS</vt:lpstr>
      <vt:lpstr>SFDM</vt:lpstr>
    </vt:vector>
  </TitlesOfParts>
  <Company>Plexus Corp.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Dunn</dc:creator>
  <cp:lastModifiedBy>James Lutsey</cp:lastModifiedBy>
  <dcterms:created xsi:type="dcterms:W3CDTF">2016-02-24T22:13:42Z</dcterms:created>
  <dcterms:modified xsi:type="dcterms:W3CDTF">2018-03-19T14:56:52Z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0x01010029971747A83F7641B62BB96D00F7A828</vt:lpwstr>
  </property>
</Properties>
</file>